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ardC\Documents\Personal Projects\Smart References and Sheets\"/>
    </mc:Choice>
  </mc:AlternateContent>
  <xr:revisionPtr revIDLastSave="0" documentId="13_ncr:1_{4DE86CF0-C9AC-421F-BB61-D98B6F4F4EA2}" xr6:coauthVersionLast="47" xr6:coauthVersionMax="47" xr10:uidLastSave="{00000000-0000-0000-0000-000000000000}"/>
  <bookViews>
    <workbookView xWindow="38280" yWindow="165" windowWidth="25440" windowHeight="15390" xr2:uid="{B04D83D6-2FBF-4F80-AD02-0319401DAEE7}"/>
  </bookViews>
  <sheets>
    <sheet name="CALCULATOR" sheetId="4" r:id="rId1"/>
    <sheet name="FAN CURVE" sheetId="8" r:id="rId2"/>
    <sheet name="DESIGN FLOW" sheetId="7" r:id="rId3"/>
    <sheet name="HUNTER CURVE" sheetId="2" r:id="rId4"/>
    <sheet name="TRANSMITTANCE" sheetId="3" r:id="rId5"/>
    <sheet name="TEMPLATES" sheetId="5" r:id="rId6"/>
  </sheets>
  <functionGroups builtInGroupCount="19"/>
  <calcPr calcId="191029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J1" i="8" l="1" a="1"/>
  <c r="BJ1" i="8" s="1"/>
  <c r="T9" i="7" a="1"/>
  <c r="T9" i="7" s="1"/>
  <c r="S9" i="7" a="1"/>
  <c r="S9" i="7" s="1"/>
  <c r="T8" i="7" a="1"/>
  <c r="T8" i="7" s="1"/>
  <c r="S8" i="7" a="1"/>
  <c r="S8" i="7" s="1"/>
  <c r="T7" i="7" a="1"/>
  <c r="T7" i="7" s="1"/>
  <c r="S7" i="7" a="1"/>
  <c r="S7" i="7" s="1"/>
  <c r="T6" i="7" a="1"/>
  <c r="T6" i="7" s="1"/>
  <c r="S6" i="7" a="1"/>
  <c r="S6" i="7" s="1"/>
  <c r="T5" i="7" a="1"/>
  <c r="T5" i="7" s="1"/>
  <c r="S5" i="7" a="1"/>
  <c r="S5" i="7" s="1"/>
  <c r="T4" i="7" a="1"/>
  <c r="T4" i="7" s="1"/>
  <c r="S4" i="7" a="1"/>
  <c r="S4" i="7" s="1"/>
  <c r="T3" i="7" a="1"/>
  <c r="T3" i="7" s="1"/>
  <c r="S3" i="7" a="1"/>
  <c r="S3" i="7" s="1"/>
  <c r="T2" i="7" a="1"/>
  <c r="T2" i="7" s="1"/>
  <c r="S2" i="7" a="1"/>
  <c r="S2" i="7" s="1"/>
  <c r="K5" i="3" a="1"/>
  <c r="K5" i="3" s="1"/>
  <c r="K4" i="3" a="1"/>
  <c r="K4" i="3" s="1"/>
  <c r="K3" i="3" a="1"/>
  <c r="K3" i="3" s="1"/>
  <c r="K2" i="3" a="1"/>
  <c r="K2" i="3" s="1"/>
  <c r="L5" i="2" a="1"/>
  <c r="L5" i="2" s="1"/>
  <c r="K5" i="2" a="1"/>
  <c r="K5" i="2" s="1"/>
  <c r="L4" i="2" a="1"/>
  <c r="L4" i="2" s="1"/>
  <c r="K4" i="2" a="1"/>
  <c r="K4" i="2" s="1"/>
  <c r="L3" i="2" a="1"/>
  <c r="L3" i="2" s="1"/>
  <c r="K3" i="2" a="1"/>
  <c r="K3" i="2" s="1"/>
  <c r="L2" i="2" a="1"/>
  <c r="L2" i="2" s="1"/>
  <c r="K2" i="2"/>
  <c r="K2" i="2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<sst xmlns="http://schemas.openxmlformats.org/spreadsheetml/2006/main" count="219" uniqueCount="84">
  <si>
    <t>POLYETHYLENE</t>
  </si>
  <si>
    <t>GLASS</t>
  </si>
  <si>
    <t>MYLAR</t>
  </si>
  <si>
    <t>FIBERGLASS</t>
  </si>
  <si>
    <t>X</t>
  </si>
  <si>
    <t>Y</t>
  </si>
  <si>
    <t>Ax^6</t>
  </si>
  <si>
    <t>Bx^5</t>
  </si>
  <si>
    <t>Cx^4</t>
  </si>
  <si>
    <t>Dx^3</t>
  </si>
  <si>
    <t>Ex^2</t>
  </si>
  <si>
    <t>Fx</t>
  </si>
  <si>
    <t>G</t>
  </si>
  <si>
    <t>HUNTER CURVE</t>
  </si>
  <si>
    <t>FIXTURE UNITS</t>
  </si>
  <si>
    <t>GALLONS PER MINUTE</t>
  </si>
  <si>
    <t>TRANSMITTANCE</t>
  </si>
  <si>
    <t>TYPE</t>
  </si>
  <si>
    <t>ANGLE OF INCIDENCE</t>
  </si>
  <si>
    <t>CURVE A</t>
  </si>
  <si>
    <t>CURVE B</t>
  </si>
  <si>
    <t>CURVE C</t>
  </si>
  <si>
    <t>CURVE D</t>
  </si>
  <si>
    <t>CALCULATOR</t>
  </si>
  <si>
    <t>A</t>
  </si>
  <si>
    <t>x^B</t>
  </si>
  <si>
    <t>COOLING 10C</t>
  </si>
  <si>
    <t>COOLING 7C</t>
  </si>
  <si>
    <t>COOLING 4C</t>
  </si>
  <si>
    <t>HEATING 60C</t>
  </si>
  <si>
    <t>HEATING 82C</t>
  </si>
  <si>
    <t>HEATING 104C</t>
  </si>
  <si>
    <t>HEATING 127C</t>
  </si>
  <si>
    <t>HEATING 150C</t>
  </si>
  <si>
    <t>DESIGN FLOW</t>
  </si>
  <si>
    <t>DELTA T</t>
  </si>
  <si>
    <t>DESIGN FLOW %</t>
  </si>
  <si>
    <t>2 ROW COIL MAX</t>
  </si>
  <si>
    <t>1 ROW COIL MAX</t>
  </si>
  <si>
    <t>02SQ-PSC</t>
  </si>
  <si>
    <t>03SQ-ECM</t>
  </si>
  <si>
    <t>MAX</t>
  </si>
  <si>
    <t>03SQ-PSC</t>
  </si>
  <si>
    <t>2 ROW MAX COIL</t>
  </si>
  <si>
    <t>04SQ-ECM</t>
  </si>
  <si>
    <t>04SQ-PSC</t>
  </si>
  <si>
    <t>05SQ-ECM</t>
  </si>
  <si>
    <t>05SQ-PSC</t>
  </si>
  <si>
    <t>06SQ-ECM</t>
  </si>
  <si>
    <t>06SQ-PSC</t>
  </si>
  <si>
    <t>07SQ-PSC</t>
  </si>
  <si>
    <t>FAN CURVE</t>
  </si>
  <si>
    <t>DSP</t>
  </si>
  <si>
    <t>AIRFLOW</t>
  </si>
  <si>
    <t>02SQ-PSC, 2 ROW COIL MAX</t>
  </si>
  <si>
    <t>02SQ-PSC, 1 ROW COIL MAX</t>
  </si>
  <si>
    <t>02SQ-PSC, MAX</t>
  </si>
  <si>
    <t>03SQ-ECM, 2 ROW COIL MAX</t>
  </si>
  <si>
    <t>03SQ-ECM, 1 ROW COIL MAX</t>
  </si>
  <si>
    <t>03SQ-ECM, MAX</t>
  </si>
  <si>
    <t>03SQ-PSC, 2 ROW COIL MAX</t>
  </si>
  <si>
    <t>03SQ-PSC, 1 ROW COIL MAX</t>
  </si>
  <si>
    <t>03SQ-PSC, MAX</t>
  </si>
  <si>
    <t>04SQ-ECM, 2 ROW COIL MAX</t>
  </si>
  <si>
    <t>04SQ-ECM, 1 ROW COIL MAX</t>
  </si>
  <si>
    <t>04SQ-ECM, MAX</t>
  </si>
  <si>
    <t>04SQ-PSC, 2 ROW COIL MAX</t>
  </si>
  <si>
    <t>04SQ-PSC, 1 ROW COIL MAX</t>
  </si>
  <si>
    <t>04SQ-PSC, MAX</t>
  </si>
  <si>
    <t>05SQ-ECM, 2 ROW COIL MAX</t>
  </si>
  <si>
    <t>05SQ-ECM, 1 ROW COIL MAX</t>
  </si>
  <si>
    <t>05SQ-ECM, MAX</t>
  </si>
  <si>
    <t>05SQ-PSC, 2 ROW COIL MAX</t>
  </si>
  <si>
    <t>05SQ-PSC, 1 ROW COIL MAX</t>
  </si>
  <si>
    <t>05SQ-PSC, MAX</t>
  </si>
  <si>
    <t>06SQ-ECM, 2 ROW COIL MAX</t>
  </si>
  <si>
    <t>06SQ-ECM, 1 ROW COIL MAX</t>
  </si>
  <si>
    <t>06SQ-ECM, MAX</t>
  </si>
  <si>
    <t>06SQ-PSC, 2 ROW COIL MAX</t>
  </si>
  <si>
    <t>06SQ-PSC, 1 ROW COIL MAX</t>
  </si>
  <si>
    <t>06SQ-PSC, MAX</t>
  </si>
  <si>
    <t>07SQ-PSC, 2 ROW COIL MAX</t>
  </si>
  <si>
    <t>07SQ-PSC, 1 ROW COIL MAX</t>
  </si>
  <si>
    <t>07SQ-PSC,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</si>
</sst>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COOLING 10C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'DESIGN FLOW'!$A$3:$A$26</c:f>
              <c:numCache>
                <c:formatCode>General</c:formatCode>
                <c:ptCount val="24"/>
                <c:pt idx="0">
                  <c:v>2.9136019630436301</c:v>
                </c:pt>
                <c:pt idx="1">
                  <c:v>3.1682502191580499</c:v>
                </c:pt>
                <c:pt idx="2">
                  <c:v>3.42951723979527</c:v>
                </c:pt>
                <c:pt idx="3">
                  <c:v>3.6716246789191</c:v>
                </c:pt>
                <c:pt idx="4">
                  <c:v>3.9103574190263601</c:v>
                </c:pt>
                <c:pt idx="5">
                  <c:v>4.1471306564788399</c:v>
                </c:pt>
                <c:pt idx="6">
                  <c:v>4.4345243791797904</c:v>
                </c:pt>
                <c:pt idx="7">
                  <c:v>4.7589793125859403</c:v>
                </c:pt>
                <c:pt idx="8">
                  <c:v>5.1556213561385302</c:v>
                </c:pt>
                <c:pt idx="9">
                  <c:v>5.4743671213159404</c:v>
                </c:pt>
                <c:pt idx="10">
                  <c:v>5.82762190546919</c:v>
                </c:pt>
                <c:pt idx="11">
                  <c:v>6.1188257722210899</c:v>
                </c:pt>
                <c:pt idx="12">
                  <c:v>6.4530153212850596</c:v>
                </c:pt>
                <c:pt idx="13">
                  <c:v>6.7905723119483499</c:v>
                </c:pt>
                <c:pt idx="14">
                  <c:v>7.0916099790603502</c:v>
                </c:pt>
                <c:pt idx="15">
                  <c:v>7.4116285835690796</c:v>
                </c:pt>
                <c:pt idx="16">
                  <c:v>7.7726460128547199</c:v>
                </c:pt>
                <c:pt idx="17">
                  <c:v>8.0729786737205593</c:v>
                </c:pt>
                <c:pt idx="18">
                  <c:v>8.4219567655717</c:v>
                </c:pt>
                <c:pt idx="19">
                  <c:v>8.7460833872455694</c:v>
                </c:pt>
                <c:pt idx="20">
                  <c:v>9.0547703721284503</c:v>
                </c:pt>
                <c:pt idx="21">
                  <c:v>9.4075554977088895</c:v>
                </c:pt>
                <c:pt idx="22">
                  <c:v>9.7096506741901294</c:v>
                </c:pt>
                <c:pt idx="23">
                  <c:v>10.043753134247201</c:v>
                </c:pt>
              </c:numCache>
            </c:numRef>
          </c:xVal>
          <c:yVal>
            <c:numRef>
              <c:f>'DESIGN FLOW'!$B$3:$B$26</c:f>
              <c:numCache>
                <c:formatCode>General</c:formatCode>
                <c:ptCount val="24"/>
                <c:pt idx="0">
                  <c:v>69.295385596025994</c:v>
                </c:pt>
                <c:pt idx="1">
                  <c:v>70.572707559212503</c:v>
                </c:pt>
                <c:pt idx="2">
                  <c:v>71.766375119074098</c:v>
                </c:pt>
                <c:pt idx="3">
                  <c:v>72.995751821289304</c:v>
                </c:pt>
                <c:pt idx="4">
                  <c:v>74.022279296352906</c:v>
                </c:pt>
                <c:pt idx="5">
                  <c:v>75.199685373518804</c:v>
                </c:pt>
                <c:pt idx="6">
                  <c:v>76.249606422524906</c:v>
                </c:pt>
                <c:pt idx="7">
                  <c:v>77.302403992019705</c:v>
                </c:pt>
                <c:pt idx="8">
                  <c:v>78.598301346700197</c:v>
                </c:pt>
                <c:pt idx="9">
                  <c:v>79.707829512952998</c:v>
                </c:pt>
                <c:pt idx="10">
                  <c:v>80.7450128700128</c:v>
                </c:pt>
                <c:pt idx="11">
                  <c:v>81.522065654727996</c:v>
                </c:pt>
                <c:pt idx="12">
                  <c:v>82.577402471089499</c:v>
                </c:pt>
                <c:pt idx="13">
                  <c:v>83.483787826514202</c:v>
                </c:pt>
                <c:pt idx="14">
                  <c:v>84.208664834779796</c:v>
                </c:pt>
                <c:pt idx="15">
                  <c:v>85.0984903345379</c:v>
                </c:pt>
                <c:pt idx="16">
                  <c:v>85.902176568805103</c:v>
                </c:pt>
                <c:pt idx="17">
                  <c:v>86.574224784001203</c:v>
                </c:pt>
                <c:pt idx="18">
                  <c:v>87.284400790805094</c:v>
                </c:pt>
                <c:pt idx="19">
                  <c:v>87.896257746440696</c:v>
                </c:pt>
                <c:pt idx="20">
                  <c:v>88.583155276567894</c:v>
                </c:pt>
                <c:pt idx="21">
                  <c:v>89.179108071605697</c:v>
                </c:pt>
                <c:pt idx="22">
                  <c:v>90.088642164579895</c:v>
                </c:pt>
                <c:pt idx="23">
                  <c:v>90.510035195305093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E9-4FA0-A798-B61F08BDAE7F}"/>
            </c:ext>
          </c:extLst>
        </c:ser>
        <c:ser>
          <c:idx val="1"/>
          <c:order val="1"/>
          <c:tx>
            <c:v>COOLING 7C</c:v>
          </c:tx>
          <c:spPr>
            <a:ln w="254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'DESIGN FLOW'!$C$3:$C$27</c:f>
              <c:numCache>
                <c:formatCode>General</c:formatCode>
                <c:ptCount val="25"/>
                <c:pt idx="0">
                  <c:v>2.9871050848495702</c:v>
                </c:pt>
                <c:pt idx="1">
                  <c:v>3.2679900501942898</c:v>
                </c:pt>
                <c:pt idx="2">
                  <c:v>3.5350884692453501</c:v>
                </c:pt>
                <c:pt idx="3">
                  <c:v>3.8134422511737598</c:v>
                </c:pt>
                <c:pt idx="4">
                  <c:v>4.0924020911032599</c:v>
                </c:pt>
                <c:pt idx="5">
                  <c:v>4.3801559563138497</c:v>
                </c:pt>
                <c:pt idx="6">
                  <c:v>4.5875687939352803</c:v>
                </c:pt>
                <c:pt idx="7">
                  <c:v>4.8287026226232301</c:v>
                </c:pt>
                <c:pt idx="8">
                  <c:v>5.1832285713191899</c:v>
                </c:pt>
                <c:pt idx="9">
                  <c:v>5.4712706232935702</c:v>
                </c:pt>
                <c:pt idx="10">
                  <c:v>5.76358971316135</c:v>
                </c:pt>
                <c:pt idx="11">
                  <c:v>6.0947311469845502</c:v>
                </c:pt>
                <c:pt idx="12">
                  <c:v>6.4171540035635202</c:v>
                </c:pt>
                <c:pt idx="13">
                  <c:v>6.7526503970231104</c:v>
                </c:pt>
                <c:pt idx="14">
                  <c:v>7.0847009178479503</c:v>
                </c:pt>
                <c:pt idx="15">
                  <c:v>7.3650114013227297</c:v>
                </c:pt>
                <c:pt idx="16">
                  <c:v>7.6772351675405304</c:v>
                </c:pt>
                <c:pt idx="17">
                  <c:v>8.0347839235607292</c:v>
                </c:pt>
                <c:pt idx="18">
                  <c:v>8.3415860535090101</c:v>
                </c:pt>
                <c:pt idx="19">
                  <c:v>8.6500967868303498</c:v>
                </c:pt>
                <c:pt idx="20">
                  <c:v>8.9955498474506808</c:v>
                </c:pt>
                <c:pt idx="21">
                  <c:v>9.3066853732577393</c:v>
                </c:pt>
                <c:pt idx="22">
                  <c:v>9.6479626276507897</c:v>
                </c:pt>
                <c:pt idx="23">
                  <c:v>9.9870706320556408</c:v>
                </c:pt>
                <c:pt idx="24">
                  <c:v>10.185882393473801</c:v>
                </c:pt>
              </c:numCache>
            </c:numRef>
          </c:xVal>
          <c:yVal>
            <c:numRef>
              <c:f>'DESIGN FLOW'!$D$3:$D$27</c:f>
              <c:numCache>
                <c:formatCode>General</c:formatCode>
                <c:ptCount val="25"/>
                <c:pt idx="0">
                  <c:v>63.294028573077</c:v>
                </c:pt>
                <c:pt idx="1">
                  <c:v>64.221911570300804</c:v>
                </c:pt>
                <c:pt idx="2">
                  <c:v>65.634227875764907</c:v>
                </c:pt>
                <c:pt idx="3">
                  <c:v>66.823667251509505</c:v>
                </c:pt>
                <c:pt idx="4">
                  <c:v>68.204749559663597</c:v>
                </c:pt>
                <c:pt idx="5">
                  <c:v>69.2919679580246</c:v>
                </c:pt>
                <c:pt idx="6">
                  <c:v>70.701535452587507</c:v>
                </c:pt>
                <c:pt idx="7">
                  <c:v>71.406836649745998</c:v>
                </c:pt>
                <c:pt idx="8">
                  <c:v>73.084921596540994</c:v>
                </c:pt>
                <c:pt idx="9">
                  <c:v>74.153442358840294</c:v>
                </c:pt>
                <c:pt idx="10">
                  <c:v>75.161689663130602</c:v>
                </c:pt>
                <c:pt idx="11">
                  <c:v>76.259988259073296</c:v>
                </c:pt>
                <c:pt idx="12">
                  <c:v>77.350263935350796</c:v>
                </c:pt>
                <c:pt idx="13">
                  <c:v>78.414500247552695</c:v>
                </c:pt>
                <c:pt idx="14">
                  <c:v>79.357241491916696</c:v>
                </c:pt>
                <c:pt idx="15">
                  <c:v>80.330013453526703</c:v>
                </c:pt>
                <c:pt idx="16">
                  <c:v>81.018911834328094</c:v>
                </c:pt>
                <c:pt idx="17">
                  <c:v>81.9745225554923</c:v>
                </c:pt>
                <c:pt idx="18">
                  <c:v>82.719047333084703</c:v>
                </c:pt>
                <c:pt idx="19">
                  <c:v>83.394712383275902</c:v>
                </c:pt>
                <c:pt idx="20">
                  <c:v>84.089759331936804</c:v>
                </c:pt>
                <c:pt idx="21">
                  <c:v>84.673270643535901</c:v>
                </c:pt>
                <c:pt idx="22">
                  <c:v>85.335230325738095</c:v>
                </c:pt>
                <c:pt idx="23">
                  <c:v>85.9470051861896</c:v>
                </c:pt>
                <c:pt idx="24">
                  <c:v>86.088444345534896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E9-4FA0-A798-B61F08BDAE7F}"/>
            </c:ext>
          </c:extLst>
        </c:ser>
        <c:ser>
          <c:idx val="2"/>
          <c:order val="2"/>
          <c:tx>
            <c:v>COOLING 4C</c:v>
          </c:tx>
          <c:spPr>
            <a:ln w="25400" cap="rnd">
              <a:solidFill>
                <a:schemeClr val="accent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'DESIGN FLOW'!$E$3:$E$30</c:f>
              <c:numCache>
                <c:formatCode>General</c:formatCode>
                <c:ptCount val="28"/>
                <c:pt idx="0">
                  <c:v>3.07547139716287</c:v>
                </c:pt>
                <c:pt idx="1">
                  <c:v>3.2922431927021298</c:v>
                </c:pt>
                <c:pt idx="2">
                  <c:v>3.2570810061747002</c:v>
                </c:pt>
                <c:pt idx="3">
                  <c:v>3.4919890873965298</c:v>
                </c:pt>
                <c:pt idx="4">
                  <c:v>3.7033499599964701</c:v>
                </c:pt>
                <c:pt idx="5">
                  <c:v>3.8912341245991602</c:v>
                </c:pt>
                <c:pt idx="6">
                  <c:v>4.09011638664201</c:v>
                </c:pt>
                <c:pt idx="7">
                  <c:v>4.3191024153960598</c:v>
                </c:pt>
                <c:pt idx="8">
                  <c:v>4.5395754937276704</c:v>
                </c:pt>
                <c:pt idx="9">
                  <c:v>4.7731264379256304</c:v>
                </c:pt>
                <c:pt idx="10">
                  <c:v>5.0767662190007501</c:v>
                </c:pt>
                <c:pt idx="11">
                  <c:v>5.2949637671450498</c:v>
                </c:pt>
                <c:pt idx="12">
                  <c:v>5.5407724890612302</c:v>
                </c:pt>
                <c:pt idx="13">
                  <c:v>5.8402238921193703</c:v>
                </c:pt>
                <c:pt idx="14">
                  <c:v>6.1559256891515801</c:v>
                </c:pt>
                <c:pt idx="15">
                  <c:v>6.4714394845181404</c:v>
                </c:pt>
                <c:pt idx="16">
                  <c:v>6.7751503003135198</c:v>
                </c:pt>
                <c:pt idx="17">
                  <c:v>7.0842074134756299</c:v>
                </c:pt>
                <c:pt idx="18">
                  <c:v>7.3965956811508704</c:v>
                </c:pt>
                <c:pt idx="19">
                  <c:v>7.7266721844864499</c:v>
                </c:pt>
                <c:pt idx="20">
                  <c:v>8.0368007216147692</c:v>
                </c:pt>
                <c:pt idx="21">
                  <c:v>8.3709474901139593</c:v>
                </c:pt>
                <c:pt idx="22">
                  <c:v>8.6866680582103104</c:v>
                </c:pt>
                <c:pt idx="23">
                  <c:v>8.9817317250258704</c:v>
                </c:pt>
                <c:pt idx="24">
                  <c:v>9.2609971404181</c:v>
                </c:pt>
                <c:pt idx="25">
                  <c:v>9.5844239397152595</c:v>
                </c:pt>
                <c:pt idx="26">
                  <c:v>9.8897797700850205</c:v>
                </c:pt>
                <c:pt idx="27">
                  <c:v>10.1414669999655</c:v>
                </c:pt>
              </c:numCache>
            </c:numRef>
          </c:xVal>
          <c:yVal>
            <c:numRef>
              <c:f>'DESIGN FLOW'!$F$3:$F$30</c:f>
              <c:numCache>
                <c:formatCode>General</c:formatCode>
                <c:ptCount val="28"/>
                <c:pt idx="0">
                  <c:v>56.254147390103398</c:v>
                </c:pt>
                <c:pt idx="1">
                  <c:v>57.577363142779397</c:v>
                </c:pt>
                <c:pt idx="2">
                  <c:v>56.165895996636998</c:v>
                </c:pt>
                <c:pt idx="3">
                  <c:v>59.1148318361493</c:v>
                </c:pt>
                <c:pt idx="4">
                  <c:v>60.660709554710301</c:v>
                </c:pt>
                <c:pt idx="5">
                  <c:v>61.7417637216356</c:v>
                </c:pt>
                <c:pt idx="6">
                  <c:v>62.900455768799702</c:v>
                </c:pt>
                <c:pt idx="7">
                  <c:v>64.041383037723307</c:v>
                </c:pt>
                <c:pt idx="8">
                  <c:v>65.310823579264706</c:v>
                </c:pt>
                <c:pt idx="9">
                  <c:v>66.421351543675399</c:v>
                </c:pt>
                <c:pt idx="10">
                  <c:v>67.8163313858647</c:v>
                </c:pt>
                <c:pt idx="11">
                  <c:v>68.757356101363399</c:v>
                </c:pt>
                <c:pt idx="12">
                  <c:v>70.0804046841901</c:v>
                </c:pt>
                <c:pt idx="13">
                  <c:v>71.149159288683506</c:v>
                </c:pt>
                <c:pt idx="14">
                  <c:v>72.185944014855195</c:v>
                </c:pt>
                <c:pt idx="15">
                  <c:v>73.334018831274093</c:v>
                </c:pt>
                <c:pt idx="16">
                  <c:v>74.469535020741503</c:v>
                </c:pt>
                <c:pt idx="17">
                  <c:v>75.3324696412528</c:v>
                </c:pt>
                <c:pt idx="18">
                  <c:v>76.194280409673794</c:v>
                </c:pt>
                <c:pt idx="19">
                  <c:v>77.1296537131756</c:v>
                </c:pt>
                <c:pt idx="20">
                  <c:v>78.030330983116599</c:v>
                </c:pt>
                <c:pt idx="21">
                  <c:v>78.938860962648704</c:v>
                </c:pt>
                <c:pt idx="22">
                  <c:v>79.772757974905602</c:v>
                </c:pt>
                <c:pt idx="23">
                  <c:v>80.672659131488004</c:v>
                </c:pt>
                <c:pt idx="24">
                  <c:v>81.315798087984703</c:v>
                </c:pt>
                <c:pt idx="25">
                  <c:v>82.053649989520295</c:v>
                </c:pt>
                <c:pt idx="26">
                  <c:v>82.650714709612203</c:v>
                </c:pt>
                <c:pt idx="27">
                  <c:v>83.121691682533395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6E9-4FA0-A798-B61F08BDAE7F}"/>
            </c:ext>
          </c:extLst>
        </c:ser>
        <c:ser>
          <c:idx val="3"/>
          <c:order val="3"/>
          <c:tx>
            <c:v>HEATING 60C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'DESIGN FLOW'!$G$3:$G$50</c:f>
              <c:numCache>
                <c:formatCode>General</c:formatCode>
                <c:ptCount val="48"/>
                <c:pt idx="0">
                  <c:v>4.9613161052349897</c:v>
                </c:pt>
                <c:pt idx="1">
                  <c:v>5.2294534808593403</c:v>
                </c:pt>
                <c:pt idx="2">
                  <c:v>5.4778506815911001</c:v>
                </c:pt>
                <c:pt idx="3">
                  <c:v>5.72624788232286</c:v>
                </c:pt>
                <c:pt idx="4">
                  <c:v>6.0046016642512701</c:v>
                </c:pt>
                <c:pt idx="5">
                  <c:v>6.2835615041807698</c:v>
                </c:pt>
                <c:pt idx="6">
                  <c:v>6.5804804505914998</c:v>
                </c:pt>
                <c:pt idx="7">
                  <c:v>6.87611306981624</c:v>
                </c:pt>
                <c:pt idx="8">
                  <c:v>7.1325418122935202</c:v>
                </c:pt>
                <c:pt idx="9">
                  <c:v>7.4321279959575399</c:v>
                </c:pt>
                <c:pt idx="10">
                  <c:v>7.7578408816852704</c:v>
                </c:pt>
                <c:pt idx="11">
                  <c:v>8.0779137174436997</c:v>
                </c:pt>
                <c:pt idx="12">
                  <c:v>8.4092666531407492</c:v>
                </c:pt>
                <c:pt idx="13">
                  <c:v>8.7349795388684903</c:v>
                </c:pt>
                <c:pt idx="14">
                  <c:v>9.0606924245962297</c:v>
                </c:pt>
                <c:pt idx="15">
                  <c:v>9.3694851604160299</c:v>
                </c:pt>
                <c:pt idx="16">
                  <c:v>9.5901935864209999</c:v>
                </c:pt>
                <c:pt idx="17">
                  <c:v>9.8428968547151197</c:v>
                </c:pt>
                <c:pt idx="18">
                  <c:v>10.2023325392177</c:v>
                </c:pt>
                <c:pt idx="19">
                  <c:v>10.5599067598597</c:v>
                </c:pt>
                <c:pt idx="20">
                  <c:v>10.8504682815244</c:v>
                </c:pt>
                <c:pt idx="21">
                  <c:v>11.1926313129959</c:v>
                </c:pt>
                <c:pt idx="22">
                  <c:v>11.5183441987237</c:v>
                </c:pt>
                <c:pt idx="23">
                  <c:v>11.8370070219898</c:v>
                </c:pt>
                <c:pt idx="24">
                  <c:v>12.1816140751147</c:v>
                </c:pt>
                <c:pt idx="25">
                  <c:v>12.508807473959401</c:v>
                </c:pt>
                <c:pt idx="26">
                  <c:v>12.8047455958908</c:v>
                </c:pt>
                <c:pt idx="27">
                  <c:v>13.142678589885399</c:v>
                </c:pt>
                <c:pt idx="28">
                  <c:v>13.480517583047099</c:v>
                </c:pt>
                <c:pt idx="29">
                  <c:v>13.795373372583899</c:v>
                </c:pt>
                <c:pt idx="30">
                  <c:v>14.104307109653</c:v>
                </c:pt>
                <c:pt idx="31">
                  <c:v>14.4474824577857</c:v>
                </c:pt>
                <c:pt idx="32">
                  <c:v>14.7606679248316</c:v>
                </c:pt>
                <c:pt idx="33">
                  <c:v>15.196596787042999</c:v>
                </c:pt>
                <c:pt idx="34">
                  <c:v>15.494579427088301</c:v>
                </c:pt>
                <c:pt idx="35">
                  <c:v>15.8414425002009</c:v>
                </c:pt>
                <c:pt idx="36">
                  <c:v>16.167155385928702</c:v>
                </c:pt>
                <c:pt idx="37">
                  <c:v>16.508544292894602</c:v>
                </c:pt>
                <c:pt idx="38">
                  <c:v>16.820322937521698</c:v>
                </c:pt>
                <c:pt idx="39">
                  <c:v>17.128501903197801</c:v>
                </c:pt>
                <c:pt idx="40">
                  <c:v>17.470006928839599</c:v>
                </c:pt>
                <c:pt idx="41">
                  <c:v>17.795719814567398</c:v>
                </c:pt>
                <c:pt idx="42">
                  <c:v>18.121432700295099</c:v>
                </c:pt>
                <c:pt idx="43">
                  <c:v>18.4630895734361</c:v>
                </c:pt>
                <c:pt idx="44">
                  <c:v>18.767633131337799</c:v>
                </c:pt>
                <c:pt idx="45">
                  <c:v>19.107280258166199</c:v>
                </c:pt>
                <c:pt idx="46">
                  <c:v>19.422006530718399</c:v>
                </c:pt>
                <c:pt idx="47">
                  <c:v>19.749997128933799</c:v>
                </c:pt>
              </c:numCache>
            </c:numRef>
          </c:xVal>
          <c:yVal>
            <c:numRef>
              <c:f>'DESIGN FLOW'!$H$3:$H$50</c:f>
              <c:numCache>
                <c:formatCode>General</c:formatCode>
                <c:ptCount val="48"/>
                <c:pt idx="0">
                  <c:v>40.767441732675003</c:v>
                </c:pt>
                <c:pt idx="1">
                  <c:v>41.905931549115401</c:v>
                </c:pt>
                <c:pt idx="2">
                  <c:v>43.234928661506899</c:v>
                </c:pt>
                <c:pt idx="3">
                  <c:v>44.553299868944798</c:v>
                </c:pt>
                <c:pt idx="4">
                  <c:v>45.679326217921101</c:v>
                </c:pt>
                <c:pt idx="5">
                  <c:v>46.933342790471798</c:v>
                </c:pt>
                <c:pt idx="6">
                  <c:v>48.163939001084401</c:v>
                </c:pt>
                <c:pt idx="7">
                  <c:v>49.2594914873048</c:v>
                </c:pt>
                <c:pt idx="8">
                  <c:v>50.656141044979101</c:v>
                </c:pt>
                <c:pt idx="9">
                  <c:v>51.5034697010909</c:v>
                </c:pt>
                <c:pt idx="10">
                  <c:v>52.603871858217602</c:v>
                </c:pt>
                <c:pt idx="11">
                  <c:v>53.667724056562101</c:v>
                </c:pt>
                <c:pt idx="12">
                  <c:v>54.762448550188701</c:v>
                </c:pt>
                <c:pt idx="13">
                  <c:v>55.758523640499803</c:v>
                </c:pt>
                <c:pt idx="14">
                  <c:v>56.821666130906699</c:v>
                </c:pt>
                <c:pt idx="15">
                  <c:v>57.5437939573346</c:v>
                </c:pt>
                <c:pt idx="16">
                  <c:v>58.3968002769466</c:v>
                </c:pt>
                <c:pt idx="17">
                  <c:v>58.908030040234898</c:v>
                </c:pt>
                <c:pt idx="18">
                  <c:v>59.923707526635198</c:v>
                </c:pt>
                <c:pt idx="19">
                  <c:v>60.785048784518999</c:v>
                </c:pt>
                <c:pt idx="20">
                  <c:v>61.466704581983599</c:v>
                </c:pt>
                <c:pt idx="21">
                  <c:v>62.177122227442403</c:v>
                </c:pt>
                <c:pt idx="22">
                  <c:v>62.890023850682503</c:v>
                </c:pt>
                <c:pt idx="23">
                  <c:v>63.663014079299501</c:v>
                </c:pt>
                <c:pt idx="24">
                  <c:v>64.486890367036693</c:v>
                </c:pt>
                <c:pt idx="25">
                  <c:v>65.007863307039798</c:v>
                </c:pt>
                <c:pt idx="26">
                  <c:v>65.528836247043003</c:v>
                </c:pt>
                <c:pt idx="27">
                  <c:v>66.217134661782396</c:v>
                </c:pt>
                <c:pt idx="28">
                  <c:v>66.7930153392184</c:v>
                </c:pt>
                <c:pt idx="29">
                  <c:v>67.232017012437794</c:v>
                </c:pt>
                <c:pt idx="30">
                  <c:v>67.820388549574204</c:v>
                </c:pt>
                <c:pt idx="31">
                  <c:v>68.3985311935906</c:v>
                </c:pt>
                <c:pt idx="32">
                  <c:v>68.898766103706606</c:v>
                </c:pt>
                <c:pt idx="33">
                  <c:v>69.393629677252704</c:v>
                </c:pt>
                <c:pt idx="34">
                  <c:v>69.999894866578899</c:v>
                </c:pt>
                <c:pt idx="35">
                  <c:v>70.592838950569899</c:v>
                </c:pt>
                <c:pt idx="36">
                  <c:v>70.980339484456593</c:v>
                </c:pt>
                <c:pt idx="37">
                  <c:v>71.190747014168707</c:v>
                </c:pt>
                <c:pt idx="38">
                  <c:v>71.544348557157306</c:v>
                </c:pt>
                <c:pt idx="39">
                  <c:v>71.908022386521907</c:v>
                </c:pt>
                <c:pt idx="40">
                  <c:v>72.376334997560903</c:v>
                </c:pt>
                <c:pt idx="41">
                  <c:v>72.738995753634299</c:v>
                </c:pt>
                <c:pt idx="42">
                  <c:v>73.0668808207692</c:v>
                </c:pt>
                <c:pt idx="43">
                  <c:v>73.245345070596599</c:v>
                </c:pt>
                <c:pt idx="44">
                  <c:v>73.415222175514899</c:v>
                </c:pt>
                <c:pt idx="45">
                  <c:v>73.717390766796001</c:v>
                </c:pt>
                <c:pt idx="46">
                  <c:v>74.073465047847407</c:v>
                </c:pt>
                <c:pt idx="47">
                  <c:v>74.428100644935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E9-4FA0-A798-B61F08BDAE7F}"/>
            </c:ext>
          </c:extLst>
        </c:ser>
        <c:ser>
          <c:idx val="4"/>
          <c:order val="4"/>
          <c:tx>
            <c:v>HEATING 82C</c:v>
          </c:tx>
          <c:spPr>
            <a:ln w="254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'DESIGN FLOW'!$I$3:$I$86</c:f>
              <c:numCache>
                <c:formatCode>General</c:formatCode>
                <c:ptCount val="84"/>
                <c:pt idx="0">
                  <c:v>4.8678792774100597</c:v>
                </c:pt>
                <c:pt idx="1">
                  <c:v>5.1926571022218404</c:v>
                </c:pt>
                <c:pt idx="2">
                  <c:v>5.4534657596649598</c:v>
                </c:pt>
                <c:pt idx="3">
                  <c:v>5.7095074398894399</c:v>
                </c:pt>
                <c:pt idx="4">
                  <c:v>5.9568402194260104</c:v>
                </c:pt>
                <c:pt idx="5">
                  <c:v>6.2181072400632402</c:v>
                </c:pt>
                <c:pt idx="6">
                  <c:v>6.4845996011132003</c:v>
                </c:pt>
                <c:pt idx="7">
                  <c:v>6.7510919621631702</c:v>
                </c:pt>
                <c:pt idx="8">
                  <c:v>7.0309089412656398</c:v>
                </c:pt>
                <c:pt idx="9">
                  <c:v>7.3432972089408803</c:v>
                </c:pt>
                <c:pt idx="10">
                  <c:v>7.6690100946686197</c:v>
                </c:pt>
                <c:pt idx="11">
                  <c:v>7.99472298039636</c:v>
                </c:pt>
                <c:pt idx="12">
                  <c:v>8.3204358661241002</c:v>
                </c:pt>
                <c:pt idx="13">
                  <c:v>8.6461487518518396</c:v>
                </c:pt>
                <c:pt idx="14">
                  <c:v>8.9718616375795701</c:v>
                </c:pt>
                <c:pt idx="15">
                  <c:v>9.3069251324669597</c:v>
                </c:pt>
                <c:pt idx="16">
                  <c:v>9.6145785083471402</c:v>
                </c:pt>
                <c:pt idx="17">
                  <c:v>9.9405402198088204</c:v>
                </c:pt>
                <c:pt idx="18">
                  <c:v>10.274713180490499</c:v>
                </c:pt>
                <c:pt idx="19">
                  <c:v>10.600426066218199</c:v>
                </c:pt>
                <c:pt idx="20">
                  <c:v>10.926138951945999</c:v>
                </c:pt>
                <c:pt idx="21">
                  <c:v>11.2518518376737</c:v>
                </c:pt>
                <c:pt idx="22">
                  <c:v>11.5775647234014</c:v>
                </c:pt>
                <c:pt idx="23">
                  <c:v>11.8962275466675</c:v>
                </c:pt>
                <c:pt idx="24">
                  <c:v>12.2487306697495</c:v>
                </c:pt>
                <c:pt idx="25">
                  <c:v>12.541378762532201</c:v>
                </c:pt>
                <c:pt idx="26">
                  <c:v>12.878771251738</c:v>
                </c:pt>
                <c:pt idx="27">
                  <c:v>13.2291593560815</c:v>
                </c:pt>
                <c:pt idx="28">
                  <c:v>13.504205792918199</c:v>
                </c:pt>
                <c:pt idx="29">
                  <c:v>13.859832635983199</c:v>
                </c:pt>
                <c:pt idx="30">
                  <c:v>14.1718792467853</c:v>
                </c:pt>
                <c:pt idx="31">
                  <c:v>14.5367403158938</c:v>
                </c:pt>
                <c:pt idx="32">
                  <c:v>14.787317160936601</c:v>
                </c:pt>
                <c:pt idx="33">
                  <c:v>15.1922944412331</c:v>
                </c:pt>
                <c:pt idx="34">
                  <c:v>15.508896477010399</c:v>
                </c:pt>
                <c:pt idx="35">
                  <c:v>15.856247631370399</c:v>
                </c:pt>
                <c:pt idx="36">
                  <c:v>16.176505995088299</c:v>
                </c:pt>
                <c:pt idx="37">
                  <c:v>16.465232026806799</c:v>
                </c:pt>
                <c:pt idx="38">
                  <c:v>16.830918766692001</c:v>
                </c:pt>
                <c:pt idx="39">
                  <c:v>17.131956433804</c:v>
                </c:pt>
                <c:pt idx="40">
                  <c:v>17.481110777216699</c:v>
                </c:pt>
                <c:pt idx="41">
                  <c:v>17.795719814567398</c:v>
                </c:pt>
                <c:pt idx="42">
                  <c:v>18.1145995628323</c:v>
                </c:pt>
                <c:pt idx="43">
                  <c:v>18.447145586022799</c:v>
                </c:pt>
                <c:pt idx="44">
                  <c:v>18.772858471750599</c:v>
                </c:pt>
                <c:pt idx="45">
                  <c:v>19.1197215448632</c:v>
                </c:pt>
                <c:pt idx="46">
                  <c:v>19.429836167394601</c:v>
                </c:pt>
                <c:pt idx="47">
                  <c:v>19.740646519774199</c:v>
                </c:pt>
                <c:pt idx="48">
                  <c:v>20.194151064017099</c:v>
                </c:pt>
                <c:pt idx="49">
                  <c:v>20.519863949744799</c:v>
                </c:pt>
                <c:pt idx="50">
                  <c:v>20.845576835472599</c:v>
                </c:pt>
                <c:pt idx="51">
                  <c:v>21.171289721200299</c:v>
                </c:pt>
                <c:pt idx="52">
                  <c:v>21.503835744390901</c:v>
                </c:pt>
                <c:pt idx="53">
                  <c:v>21.811611644278699</c:v>
                </c:pt>
                <c:pt idx="54">
                  <c:v>22.132484390970301</c:v>
                </c:pt>
                <c:pt idx="55">
                  <c:v>22.4741412641112</c:v>
                </c:pt>
                <c:pt idx="56">
                  <c:v>22.799854149839</c:v>
                </c:pt>
                <c:pt idx="57">
                  <c:v>23.1255670355667</c:v>
                </c:pt>
                <c:pt idx="58">
                  <c:v>23.4512799212945</c:v>
                </c:pt>
                <c:pt idx="59">
                  <c:v>23.797492219410699</c:v>
                </c:pt>
                <c:pt idx="60">
                  <c:v>24.105173214611501</c:v>
                </c:pt>
                <c:pt idx="61">
                  <c:v>24.4336439188904</c:v>
                </c:pt>
                <c:pt idx="62">
                  <c:v>24.7710516141134</c:v>
                </c:pt>
                <c:pt idx="63">
                  <c:v>25.1982853992887</c:v>
                </c:pt>
                <c:pt idx="64">
                  <c:v>25.5239982850164</c:v>
                </c:pt>
                <c:pt idx="65">
                  <c:v>25.8497111707442</c:v>
                </c:pt>
                <c:pt idx="66">
                  <c:v>26.175424056471901</c:v>
                </c:pt>
                <c:pt idx="67">
                  <c:v>26.5011369421997</c:v>
                </c:pt>
                <c:pt idx="68">
                  <c:v>26.826849827927401</c:v>
                </c:pt>
                <c:pt idx="69">
                  <c:v>27.152562713655101</c:v>
                </c:pt>
                <c:pt idx="70">
                  <c:v>27.471442461919999</c:v>
                </c:pt>
                <c:pt idx="71">
                  <c:v>27.792144380175099</c:v>
                </c:pt>
                <c:pt idx="72">
                  <c:v>28.1336494058169</c:v>
                </c:pt>
                <c:pt idx="73">
                  <c:v>28.4531365440785</c:v>
                </c:pt>
                <c:pt idx="74">
                  <c:v>28.777179107315298</c:v>
                </c:pt>
                <c:pt idx="75">
                  <c:v>29.106840028021601</c:v>
                </c:pt>
                <c:pt idx="76">
                  <c:v>29.432552913749301</c:v>
                </c:pt>
                <c:pt idx="77">
                  <c:v>29.758265799477002</c:v>
                </c:pt>
                <c:pt idx="78">
                  <c:v>30.202419734560301</c:v>
                </c:pt>
                <c:pt idx="79">
                  <c:v>30.528132620288101</c:v>
                </c:pt>
                <c:pt idx="80">
                  <c:v>30.853845506015801</c:v>
                </c:pt>
                <c:pt idx="81">
                  <c:v>31.179558391743502</c:v>
                </c:pt>
                <c:pt idx="82">
                  <c:v>31.505271277471302</c:v>
                </c:pt>
                <c:pt idx="83">
                  <c:v>31.682932851504599</c:v>
                </c:pt>
              </c:numCache>
            </c:numRef>
          </c:xVal>
          <c:yVal>
            <c:numRef>
              <c:f>'DESIGN FLOW'!$J$3:$J$86</c:f>
              <c:numCache>
                <c:formatCode>General</c:formatCode>
                <c:ptCount val="84"/>
                <c:pt idx="0">
                  <c:v>31.765782250686101</c:v>
                </c:pt>
                <c:pt idx="1">
                  <c:v>33.006855991639497</c:v>
                </c:pt>
                <c:pt idx="2">
                  <c:v>34.358324472688601</c:v>
                </c:pt>
                <c:pt idx="3">
                  <c:v>35.676293860191301</c:v>
                </c:pt>
                <c:pt idx="4">
                  <c:v>36.868895427907297</c:v>
                </c:pt>
                <c:pt idx="5">
                  <c:v>38.095785630094802</c:v>
                </c:pt>
                <c:pt idx="6">
                  <c:v>39.1978437724092</c:v>
                </c:pt>
                <c:pt idx="7">
                  <c:v>40.484662547791501</c:v>
                </c:pt>
                <c:pt idx="8">
                  <c:v>41.7416854182636</c:v>
                </c:pt>
                <c:pt idx="9">
                  <c:v>42.799611555329697</c:v>
                </c:pt>
                <c:pt idx="10">
                  <c:v>43.959629179208299</c:v>
                </c:pt>
                <c:pt idx="11">
                  <c:v>45.079903158585601</c:v>
                </c:pt>
                <c:pt idx="12">
                  <c:v>46.170369404587099</c:v>
                </c:pt>
                <c:pt idx="13">
                  <c:v>47.196252228274098</c:v>
                </c:pt>
                <c:pt idx="14">
                  <c:v>48.259394718681001</c:v>
                </c:pt>
                <c:pt idx="15">
                  <c:v>49.235523280642902</c:v>
                </c:pt>
                <c:pt idx="16">
                  <c:v>50.285089036232598</c:v>
                </c:pt>
                <c:pt idx="17">
                  <c:v>50.923638316136</c:v>
                </c:pt>
                <c:pt idx="18">
                  <c:v>51.779191234817901</c:v>
                </c:pt>
                <c:pt idx="19">
                  <c:v>52.601387880436299</c:v>
                </c:pt>
                <c:pt idx="20">
                  <c:v>53.363969059303002</c:v>
                </c:pt>
                <c:pt idx="21">
                  <c:v>54.198585593828</c:v>
                </c:pt>
                <c:pt idx="22">
                  <c:v>54.923907105974799</c:v>
                </c:pt>
                <c:pt idx="23">
                  <c:v>55.681875183247499</c:v>
                </c:pt>
                <c:pt idx="24">
                  <c:v>56.445205498270397</c:v>
                </c:pt>
                <c:pt idx="25">
                  <c:v>57.010200044509197</c:v>
                </c:pt>
                <c:pt idx="26">
                  <c:v>57.677810472869901</c:v>
                </c:pt>
                <c:pt idx="27">
                  <c:v>58.388228118328698</c:v>
                </c:pt>
                <c:pt idx="28">
                  <c:v>58.923773727982301</c:v>
                </c:pt>
                <c:pt idx="29">
                  <c:v>59.515608275901002</c:v>
                </c:pt>
                <c:pt idx="30">
                  <c:v>60.297488051376398</c:v>
                </c:pt>
                <c:pt idx="31">
                  <c:v>60.664069261393102</c:v>
                </c:pt>
                <c:pt idx="32">
                  <c:v>60.974876981281298</c:v>
                </c:pt>
                <c:pt idx="33">
                  <c:v>61.790385994411601</c:v>
                </c:pt>
                <c:pt idx="34">
                  <c:v>62.315842832768702</c:v>
                </c:pt>
                <c:pt idx="35">
                  <c:v>62.732705257865298</c:v>
                </c:pt>
                <c:pt idx="36">
                  <c:v>63.132015580852602</c:v>
                </c:pt>
                <c:pt idx="37">
                  <c:v>63.663534531787001</c:v>
                </c:pt>
                <c:pt idx="38">
                  <c:v>64.240065774832402</c:v>
                </c:pt>
                <c:pt idx="39">
                  <c:v>64.704569619940102</c:v>
                </c:pt>
                <c:pt idx="40">
                  <c:v>65.005130931480394</c:v>
                </c:pt>
                <c:pt idx="41">
                  <c:v>65.335173137214795</c:v>
                </c:pt>
                <c:pt idx="42">
                  <c:v>65.788061620632504</c:v>
                </c:pt>
                <c:pt idx="43">
                  <c:v>66.250845788814601</c:v>
                </c:pt>
                <c:pt idx="44">
                  <c:v>66.678089967202496</c:v>
                </c:pt>
                <c:pt idx="45">
                  <c:v>66.978296424774001</c:v>
                </c:pt>
                <c:pt idx="46">
                  <c:v>67.211524195741902</c:v>
                </c:pt>
                <c:pt idx="47">
                  <c:v>67.538330693576995</c:v>
                </c:pt>
                <c:pt idx="48">
                  <c:v>68.183380502685097</c:v>
                </c:pt>
                <c:pt idx="49">
                  <c:v>68.501329658694701</c:v>
                </c:pt>
                <c:pt idx="50">
                  <c:v>68.849086548080095</c:v>
                </c:pt>
                <c:pt idx="51">
                  <c:v>69.107420237337806</c:v>
                </c:pt>
                <c:pt idx="52">
                  <c:v>69.267486673708007</c:v>
                </c:pt>
                <c:pt idx="53">
                  <c:v>69.583811690399003</c:v>
                </c:pt>
                <c:pt idx="54">
                  <c:v>70.032952178423301</c:v>
                </c:pt>
                <c:pt idx="55">
                  <c:v>70.453026486878201</c:v>
                </c:pt>
                <c:pt idx="56">
                  <c:v>70.597806906132604</c:v>
                </c:pt>
                <c:pt idx="57">
                  <c:v>70.746845573011996</c:v>
                </c:pt>
                <c:pt idx="58">
                  <c:v>71.005179262269806</c:v>
                </c:pt>
                <c:pt idx="59">
                  <c:v>71.160332335995605</c:v>
                </c:pt>
                <c:pt idx="60">
                  <c:v>71.357904107217905</c:v>
                </c:pt>
                <c:pt idx="61">
                  <c:v>71.428624415815605</c:v>
                </c:pt>
                <c:pt idx="62">
                  <c:v>71.763857047480101</c:v>
                </c:pt>
                <c:pt idx="63">
                  <c:v>72.172648819492295</c:v>
                </c:pt>
                <c:pt idx="64">
                  <c:v>72.4260145531874</c:v>
                </c:pt>
                <c:pt idx="65">
                  <c:v>72.634668686818699</c:v>
                </c:pt>
                <c:pt idx="66">
                  <c:v>72.8184830426367</c:v>
                </c:pt>
                <c:pt idx="67">
                  <c:v>72.967521709516205</c:v>
                </c:pt>
                <c:pt idx="68">
                  <c:v>73.136432198646204</c:v>
                </c:pt>
                <c:pt idx="69">
                  <c:v>73.295406776651006</c:v>
                </c:pt>
                <c:pt idx="70">
                  <c:v>73.3083998911995</c:v>
                </c:pt>
                <c:pt idx="71">
                  <c:v>73.419936862754795</c:v>
                </c:pt>
                <c:pt idx="72">
                  <c:v>73.609381568210395</c:v>
                </c:pt>
                <c:pt idx="73">
                  <c:v>73.846467693677198</c:v>
                </c:pt>
                <c:pt idx="74">
                  <c:v>73.951839304995701</c:v>
                </c:pt>
                <c:pt idx="75">
                  <c:v>74.234350377991703</c:v>
                </c:pt>
                <c:pt idx="76">
                  <c:v>74.333709489244697</c:v>
                </c:pt>
                <c:pt idx="77">
                  <c:v>74.408228822684407</c:v>
                </c:pt>
                <c:pt idx="78">
                  <c:v>74.522491800625303</c:v>
                </c:pt>
                <c:pt idx="79">
                  <c:v>74.582107267377097</c:v>
                </c:pt>
                <c:pt idx="80">
                  <c:v>74.681466378630105</c:v>
                </c:pt>
                <c:pt idx="81">
                  <c:v>74.701338200880699</c:v>
                </c:pt>
                <c:pt idx="82">
                  <c:v>74.800697312133707</c:v>
                </c:pt>
                <c:pt idx="83">
                  <c:v>74.800697312133707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6E9-4FA0-A798-B61F08BDAE7F}"/>
            </c:ext>
          </c:extLst>
        </c:ser>
        <c:ser>
          <c:idx val="5"/>
          <c:order val="5"/>
          <c:tx>
            <c:v>HEATING 104C</c:v>
          </c:tx>
          <c:spPr>
            <a:ln w="254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'DESIGN FLOW'!$K$3:$K$128</c:f>
              <c:numCache>
                <c:formatCode>General</c:formatCode>
                <c:ptCount val="126"/>
                <c:pt idx="0">
                  <c:v>4.8145808052000696</c:v>
                </c:pt>
                <c:pt idx="1">
                  <c:v>5.1746979957406101</c:v>
                </c:pt>
                <c:pt idx="2">
                  <c:v>5.4716169421513401</c:v>
                </c:pt>
                <c:pt idx="3">
                  <c:v>5.7350898356601698</c:v>
                </c:pt>
                <c:pt idx="4">
                  <c:v>5.9746450830546198</c:v>
                </c:pt>
                <c:pt idx="5">
                  <c:v>6.26400314668851</c:v>
                </c:pt>
                <c:pt idx="6">
                  <c:v>6.5500538652307396</c:v>
                </c:pt>
                <c:pt idx="7">
                  <c:v>6.8469728116414696</c:v>
                </c:pt>
                <c:pt idx="8">
                  <c:v>7.1656356349075701</c:v>
                </c:pt>
                <c:pt idx="9">
                  <c:v>7.4913485206353103</c:v>
                </c:pt>
                <c:pt idx="10">
                  <c:v>7.8170614063630399</c:v>
                </c:pt>
                <c:pt idx="11">
                  <c:v>8.1380989875109595</c:v>
                </c:pt>
                <c:pt idx="12">
                  <c:v>8.4454569737771692</c:v>
                </c:pt>
                <c:pt idx="13">
                  <c:v>8.7942000635462598</c:v>
                </c:pt>
                <c:pt idx="14">
                  <c:v>9.1199129492739992</c:v>
                </c:pt>
                <c:pt idx="15">
                  <c:v>9.4456258350017404</c:v>
                </c:pt>
                <c:pt idx="16">
                  <c:v>9.7565335895600391</c:v>
                </c:pt>
                <c:pt idx="17">
                  <c:v>10.185882393473801</c:v>
                </c:pt>
                <c:pt idx="18">
                  <c:v>10.5083052500528</c:v>
                </c:pt>
                <c:pt idx="19">
                  <c:v>10.837308164929301</c:v>
                </c:pt>
                <c:pt idx="20">
                  <c:v>11.155970988195399</c:v>
                </c:pt>
                <c:pt idx="21">
                  <c:v>11.507435154704099</c:v>
                </c:pt>
                <c:pt idx="22">
                  <c:v>11.7957456037932</c:v>
                </c:pt>
                <c:pt idx="23">
                  <c:v>12.1677959526899</c:v>
                </c:pt>
                <c:pt idx="24">
                  <c:v>12.4520544711432</c:v>
                </c:pt>
                <c:pt idx="25">
                  <c:v>12.788295450147</c:v>
                </c:pt>
                <c:pt idx="26">
                  <c:v>13.121246400002001</c:v>
                </c:pt>
                <c:pt idx="27">
                  <c:v>13.4566775256769</c:v>
                </c:pt>
                <c:pt idx="28">
                  <c:v>13.768724136478999</c:v>
                </c:pt>
                <c:pt idx="29">
                  <c:v>14.0926952420691</c:v>
                </c:pt>
                <c:pt idx="30">
                  <c:v>14.417872195446799</c:v>
                </c:pt>
                <c:pt idx="31">
                  <c:v>14.759022910257199</c:v>
                </c:pt>
                <c:pt idx="32">
                  <c:v>15.1850816850223</c:v>
                </c:pt>
                <c:pt idx="33">
                  <c:v>15.536229026861699</c:v>
                </c:pt>
                <c:pt idx="34">
                  <c:v>15.8414425002009</c:v>
                </c:pt>
                <c:pt idx="35">
                  <c:v>16.173077438396401</c:v>
                </c:pt>
                <c:pt idx="36">
                  <c:v>16.477283923057001</c:v>
                </c:pt>
                <c:pt idx="37">
                  <c:v>16.829969719822198</c:v>
                </c:pt>
                <c:pt idx="38">
                  <c:v>17.144294043111898</c:v>
                </c:pt>
                <c:pt idx="39">
                  <c:v>17.488513342801401</c:v>
                </c:pt>
                <c:pt idx="40">
                  <c:v>17.772031604696299</c:v>
                </c:pt>
                <c:pt idx="41">
                  <c:v>18.121432700295099</c:v>
                </c:pt>
                <c:pt idx="42">
                  <c:v>18.447145586022799</c:v>
                </c:pt>
                <c:pt idx="43">
                  <c:v>18.772858471750599</c:v>
                </c:pt>
                <c:pt idx="44">
                  <c:v>19.1183115323709</c:v>
                </c:pt>
                <c:pt idx="45">
                  <c:v>19.420994214057298</c:v>
                </c:pt>
                <c:pt idx="46">
                  <c:v>19.7273539871452</c:v>
                </c:pt>
                <c:pt idx="47">
                  <c:v>20.194151064017099</c:v>
                </c:pt>
                <c:pt idx="48">
                  <c:v>20.519863949744799</c:v>
                </c:pt>
                <c:pt idx="49">
                  <c:v>20.843461816734099</c:v>
                </c:pt>
                <c:pt idx="50">
                  <c:v>21.171289721200299</c:v>
                </c:pt>
                <c:pt idx="51">
                  <c:v>21.4813265856898</c:v>
                </c:pt>
                <c:pt idx="52">
                  <c:v>21.822715492655799</c:v>
                </c:pt>
                <c:pt idx="53">
                  <c:v>22.1484283783835</c:v>
                </c:pt>
                <c:pt idx="54">
                  <c:v>22.4741412641112</c:v>
                </c:pt>
                <c:pt idx="55">
                  <c:v>22.815798137252202</c:v>
                </c:pt>
                <c:pt idx="56">
                  <c:v>23.1238252554291</c:v>
                </c:pt>
                <c:pt idx="57">
                  <c:v>23.447578638502101</c:v>
                </c:pt>
                <c:pt idx="58">
                  <c:v>23.756493394633701</c:v>
                </c:pt>
                <c:pt idx="59">
                  <c:v>24.1027056927499</c:v>
                </c:pt>
                <c:pt idx="60">
                  <c:v>24.4284185784777</c:v>
                </c:pt>
                <c:pt idx="61">
                  <c:v>24.7541314642054</c:v>
                </c:pt>
                <c:pt idx="62">
                  <c:v>25.1982853992887</c:v>
                </c:pt>
                <c:pt idx="63">
                  <c:v>25.516102215059401</c:v>
                </c:pt>
                <c:pt idx="64">
                  <c:v>25.8479693906066</c:v>
                </c:pt>
                <c:pt idx="65">
                  <c:v>26.187268161407498</c:v>
                </c:pt>
                <c:pt idx="66">
                  <c:v>26.491266854753398</c:v>
                </c:pt>
                <c:pt idx="67">
                  <c:v>26.826849827927401</c:v>
                </c:pt>
                <c:pt idx="68">
                  <c:v>27.152562713655101</c:v>
                </c:pt>
                <c:pt idx="69">
                  <c:v>27.478275599382901</c:v>
                </c:pt>
                <c:pt idx="70">
                  <c:v>27.803988485110601</c:v>
                </c:pt>
                <c:pt idx="71">
                  <c:v>28.129701370838301</c:v>
                </c:pt>
                <c:pt idx="72">
                  <c:v>28.455414256566101</c:v>
                </c:pt>
                <c:pt idx="73">
                  <c:v>28.801626554682301</c:v>
                </c:pt>
                <c:pt idx="74">
                  <c:v>29.102891993042999</c:v>
                </c:pt>
                <c:pt idx="75">
                  <c:v>29.428604878770798</c:v>
                </c:pt>
                <c:pt idx="76">
                  <c:v>29.758265799477002</c:v>
                </c:pt>
                <c:pt idx="77">
                  <c:v>30.202419734560301</c:v>
                </c:pt>
                <c:pt idx="78">
                  <c:v>30.528132620288101</c:v>
                </c:pt>
                <c:pt idx="79">
                  <c:v>30.853845506015801</c:v>
                </c:pt>
                <c:pt idx="80">
                  <c:v>31.179558391743502</c:v>
                </c:pt>
                <c:pt idx="81">
                  <c:v>31.505271277471302</c:v>
                </c:pt>
                <c:pt idx="82">
                  <c:v>31.851483575587501</c:v>
                </c:pt>
                <c:pt idx="83">
                  <c:v>32.149863911463903</c:v>
                </c:pt>
                <c:pt idx="84">
                  <c:v>32.478461899675999</c:v>
                </c:pt>
                <c:pt idx="85">
                  <c:v>32.803892782905201</c:v>
                </c:pt>
                <c:pt idx="86">
                  <c:v>33.133835706109998</c:v>
                </c:pt>
                <c:pt idx="87">
                  <c:v>33.447210982529803</c:v>
                </c:pt>
                <c:pt idx="88">
                  <c:v>33.785261477565498</c:v>
                </c:pt>
                <c:pt idx="89">
                  <c:v>34.110974363293202</c:v>
                </c:pt>
                <c:pt idx="90">
                  <c:v>34.436687249020899</c:v>
                </c:pt>
                <c:pt idx="91">
                  <c:v>34.762400134748702</c:v>
                </c:pt>
                <c:pt idx="92">
                  <c:v>35.206554069831903</c:v>
                </c:pt>
                <c:pt idx="93">
                  <c:v>35.532266955559699</c:v>
                </c:pt>
                <c:pt idx="94">
                  <c:v>35.857979841287403</c:v>
                </c:pt>
                <c:pt idx="95">
                  <c:v>36.181415014527602</c:v>
                </c:pt>
                <c:pt idx="96">
                  <c:v>36.509405612742903</c:v>
                </c:pt>
                <c:pt idx="97">
                  <c:v>36.826658423516697</c:v>
                </c:pt>
                <c:pt idx="98">
                  <c:v>37.155896340475202</c:v>
                </c:pt>
                <c:pt idx="99">
                  <c:v>37.474700164990601</c:v>
                </c:pt>
                <c:pt idx="100">
                  <c:v>37.819090293116702</c:v>
                </c:pt>
                <c:pt idx="101">
                  <c:v>38.1379700413816</c:v>
                </c:pt>
                <c:pt idx="102">
                  <c:v>38.463682927109303</c:v>
                </c:pt>
                <c:pt idx="103">
                  <c:v>38.7893958128371</c:v>
                </c:pt>
                <c:pt idx="104">
                  <c:v>39.115108698564804</c:v>
                </c:pt>
                <c:pt idx="105">
                  <c:v>39.4408215842925</c:v>
                </c:pt>
                <c:pt idx="106">
                  <c:v>39.766534470020297</c:v>
                </c:pt>
                <c:pt idx="107">
                  <c:v>40.210688405103603</c:v>
                </c:pt>
                <c:pt idx="108">
                  <c:v>40.491985897322998</c:v>
                </c:pt>
                <c:pt idx="109">
                  <c:v>44.741058542952999</c:v>
                </c:pt>
                <c:pt idx="110">
                  <c:v>45.088979125434903</c:v>
                </c:pt>
                <c:pt idx="111">
                  <c:v>45.392484314408499</c:v>
                </c:pt>
                <c:pt idx="112">
                  <c:v>45.718197200136203</c:v>
                </c:pt>
                <c:pt idx="113">
                  <c:v>46.043910085863999</c:v>
                </c:pt>
                <c:pt idx="114">
                  <c:v>46.369622971591703</c:v>
                </c:pt>
                <c:pt idx="115">
                  <c:v>46.695335857319499</c:v>
                </c:pt>
                <c:pt idx="116">
                  <c:v>47.021048743047203</c:v>
                </c:pt>
                <c:pt idx="117">
                  <c:v>47.3467616287749</c:v>
                </c:pt>
                <c:pt idx="118">
                  <c:v>47.672474514502703</c:v>
                </c:pt>
                <c:pt idx="119">
                  <c:v>47.9981874002304</c:v>
                </c:pt>
                <c:pt idx="120">
                  <c:v>48.323900285958203</c:v>
                </c:pt>
                <c:pt idx="121">
                  <c:v>48.6496131716859</c:v>
                </c:pt>
                <c:pt idx="122">
                  <c:v>48.975326057413596</c:v>
                </c:pt>
                <c:pt idx="123">
                  <c:v>49.3010389431414</c:v>
                </c:pt>
                <c:pt idx="124">
                  <c:v>49.626751828869097</c:v>
                </c:pt>
                <c:pt idx="125">
                  <c:v>49.863633927580203</c:v>
                </c:pt>
              </c:numCache>
            </c:numRef>
          </c:xVal>
          <c:yVal>
            <c:numRef>
              <c:f>'DESIGN FLOW'!$L$3:$L$128</c:f>
              <c:numCache>
                <c:formatCode>General</c:formatCode>
                <c:ptCount val="126"/>
                <c:pt idx="0">
                  <c:v>26.044187829183201</c:v>
                </c:pt>
                <c:pt idx="1">
                  <c:v>27.379668912148301</c:v>
                </c:pt>
                <c:pt idx="2">
                  <c:v>28.583283770118602</c:v>
                </c:pt>
                <c:pt idx="3">
                  <c:v>29.820916361401199</c:v>
                </c:pt>
                <c:pt idx="4">
                  <c:v>30.9916091755066</c:v>
                </c:pt>
                <c:pt idx="5">
                  <c:v>32.126455824534503</c:v>
                </c:pt>
                <c:pt idx="6">
                  <c:v>33.426778972355997</c:v>
                </c:pt>
                <c:pt idx="7">
                  <c:v>34.577526814489303</c:v>
                </c:pt>
                <c:pt idx="8">
                  <c:v>35.655691456240397</c:v>
                </c:pt>
                <c:pt idx="9">
                  <c:v>36.770997480055101</c:v>
                </c:pt>
                <c:pt idx="10">
                  <c:v>37.878851570525804</c:v>
                </c:pt>
                <c:pt idx="11">
                  <c:v>38.9572714581141</c:v>
                </c:pt>
                <c:pt idx="12">
                  <c:v>40.098467526036899</c:v>
                </c:pt>
                <c:pt idx="13">
                  <c:v>40.948054517130402</c:v>
                </c:pt>
                <c:pt idx="14">
                  <c:v>41.955059109679397</c:v>
                </c:pt>
                <c:pt idx="15">
                  <c:v>42.849291110956202</c:v>
                </c:pt>
                <c:pt idx="16">
                  <c:v>43.810093716772499</c:v>
                </c:pt>
                <c:pt idx="17">
                  <c:v>44.933348469487498</c:v>
                </c:pt>
                <c:pt idx="18">
                  <c:v>45.755545115105903</c:v>
                </c:pt>
                <c:pt idx="19">
                  <c:v>46.458510827220699</c:v>
                </c:pt>
                <c:pt idx="20">
                  <c:v>47.2245222611187</c:v>
                </c:pt>
                <c:pt idx="21">
                  <c:v>48.052178677449497</c:v>
                </c:pt>
                <c:pt idx="22">
                  <c:v>48.667682224527198</c:v>
                </c:pt>
                <c:pt idx="23">
                  <c:v>49.475999722111297</c:v>
                </c:pt>
                <c:pt idx="24">
                  <c:v>50.332144064074498</c:v>
                </c:pt>
                <c:pt idx="25">
                  <c:v>50.843835601383603</c:v>
                </c:pt>
                <c:pt idx="26">
                  <c:v>51.5172143781475</c:v>
                </c:pt>
                <c:pt idx="27">
                  <c:v>52.176627679829799</c:v>
                </c:pt>
                <c:pt idx="28">
                  <c:v>52.539288435903202</c:v>
                </c:pt>
                <c:pt idx="29">
                  <c:v>53.157068321752597</c:v>
                </c:pt>
                <c:pt idx="30">
                  <c:v>53.858089562572601</c:v>
                </c:pt>
                <c:pt idx="31">
                  <c:v>54.344312290332397</c:v>
                </c:pt>
                <c:pt idx="32">
                  <c:v>55.094197582761097</c:v>
                </c:pt>
                <c:pt idx="33">
                  <c:v>55.745530525951303</c:v>
                </c:pt>
                <c:pt idx="34">
                  <c:v>56.319902619079201</c:v>
                </c:pt>
                <c:pt idx="35">
                  <c:v>56.548428574961001</c:v>
                </c:pt>
                <c:pt idx="36">
                  <c:v>57.063265654058704</c:v>
                </c:pt>
                <c:pt idx="37">
                  <c:v>57.662397072278097</c:v>
                </c:pt>
                <c:pt idx="38">
                  <c:v>58.2226295995737</c:v>
                </c:pt>
                <c:pt idx="39">
                  <c:v>58.539647263915299</c:v>
                </c:pt>
                <c:pt idx="40">
                  <c:v>58.916487393157098</c:v>
                </c:pt>
                <c:pt idx="41">
                  <c:v>59.430789078547498</c:v>
                </c:pt>
                <c:pt idx="42">
                  <c:v>60.071182207504201</c:v>
                </c:pt>
                <c:pt idx="43">
                  <c:v>60.592344402957302</c:v>
                </c:pt>
                <c:pt idx="44">
                  <c:v>60.7125689275735</c:v>
                </c:pt>
                <c:pt idx="45">
                  <c:v>61.011308655407397</c:v>
                </c:pt>
                <c:pt idx="46">
                  <c:v>61.447417225093297</c:v>
                </c:pt>
                <c:pt idx="47">
                  <c:v>62.281449294258003</c:v>
                </c:pt>
                <c:pt idx="48">
                  <c:v>62.5993984502676</c:v>
                </c:pt>
                <c:pt idx="49">
                  <c:v>62.8406991490248</c:v>
                </c:pt>
                <c:pt idx="50">
                  <c:v>63.039977667270897</c:v>
                </c:pt>
                <c:pt idx="51">
                  <c:v>63.488662495981799</c:v>
                </c:pt>
                <c:pt idx="52">
                  <c:v>63.960618274433401</c:v>
                </c:pt>
                <c:pt idx="53">
                  <c:v>64.3530867638827</c:v>
                </c:pt>
                <c:pt idx="54">
                  <c:v>64.690907742142798</c:v>
                </c:pt>
                <c:pt idx="55">
                  <c:v>64.934719715140503</c:v>
                </c:pt>
                <c:pt idx="56">
                  <c:v>65.102371355802205</c:v>
                </c:pt>
                <c:pt idx="57">
                  <c:v>65.435480082094898</c:v>
                </c:pt>
                <c:pt idx="58">
                  <c:v>65.813283548873599</c:v>
                </c:pt>
                <c:pt idx="59">
                  <c:v>66.176326455374905</c:v>
                </c:pt>
                <c:pt idx="60">
                  <c:v>66.375044677880894</c:v>
                </c:pt>
                <c:pt idx="61">
                  <c:v>66.663186100514494</c:v>
                </c:pt>
                <c:pt idx="62">
                  <c:v>66.991071167649395</c:v>
                </c:pt>
                <c:pt idx="63">
                  <c:v>67.073539229989294</c:v>
                </c:pt>
                <c:pt idx="64">
                  <c:v>67.288271803367806</c:v>
                </c:pt>
                <c:pt idx="65">
                  <c:v>67.583582667754598</c:v>
                </c:pt>
                <c:pt idx="66">
                  <c:v>67.928772780099393</c:v>
                </c:pt>
                <c:pt idx="67">
                  <c:v>68.198284369373098</c:v>
                </c:pt>
                <c:pt idx="68">
                  <c:v>68.416874414129595</c:v>
                </c:pt>
                <c:pt idx="69">
                  <c:v>68.620560592198203</c:v>
                </c:pt>
                <c:pt idx="70">
                  <c:v>68.883862237018604</c:v>
                </c:pt>
                <c:pt idx="71">
                  <c:v>69.082580459524607</c:v>
                </c:pt>
                <c:pt idx="72">
                  <c:v>69.147163881839006</c:v>
                </c:pt>
                <c:pt idx="73">
                  <c:v>69.236259524457097</c:v>
                </c:pt>
                <c:pt idx="74">
                  <c:v>69.523829541212805</c:v>
                </c:pt>
                <c:pt idx="75">
                  <c:v>69.834019223772202</c:v>
                </c:pt>
                <c:pt idx="76">
                  <c:v>70.252888848497193</c:v>
                </c:pt>
                <c:pt idx="77">
                  <c:v>70.518319617130203</c:v>
                </c:pt>
                <c:pt idx="78">
                  <c:v>70.6077428172579</c:v>
                </c:pt>
                <c:pt idx="79">
                  <c:v>70.756781484137306</c:v>
                </c:pt>
                <c:pt idx="80">
                  <c:v>70.915756062142094</c:v>
                </c:pt>
                <c:pt idx="81">
                  <c:v>71.124410195773393</c:v>
                </c:pt>
                <c:pt idx="82">
                  <c:v>71.168739645409303</c:v>
                </c:pt>
                <c:pt idx="83">
                  <c:v>71.341089488390494</c:v>
                </c:pt>
                <c:pt idx="84">
                  <c:v>71.438053790295299</c:v>
                </c:pt>
                <c:pt idx="85">
                  <c:v>71.662368812414499</c:v>
                </c:pt>
                <c:pt idx="86">
                  <c:v>71.841924920607397</c:v>
                </c:pt>
                <c:pt idx="87">
                  <c:v>72.086537589739706</c:v>
                </c:pt>
                <c:pt idx="88">
                  <c:v>72.272007930745303</c:v>
                </c:pt>
                <c:pt idx="89">
                  <c:v>72.435950464312697</c:v>
                </c:pt>
                <c:pt idx="90">
                  <c:v>72.614796864568106</c:v>
                </c:pt>
                <c:pt idx="91">
                  <c:v>72.758867575884906</c:v>
                </c:pt>
                <c:pt idx="92">
                  <c:v>72.982425576204093</c:v>
                </c:pt>
                <c:pt idx="93">
                  <c:v>73.121528331958302</c:v>
                </c:pt>
                <c:pt idx="94">
                  <c:v>73.270566998837793</c:v>
                </c:pt>
                <c:pt idx="95">
                  <c:v>73.299992581785801</c:v>
                </c:pt>
                <c:pt idx="96">
                  <c:v>73.403282383154306</c:v>
                </c:pt>
                <c:pt idx="97">
                  <c:v>73.575031704034402</c:v>
                </c:pt>
                <c:pt idx="98">
                  <c:v>73.789718355134596</c:v>
                </c:pt>
                <c:pt idx="99">
                  <c:v>73.857116952267901</c:v>
                </c:pt>
                <c:pt idx="100">
                  <c:v>74.048243119606298</c:v>
                </c:pt>
                <c:pt idx="101">
                  <c:v>74.224414466866406</c:v>
                </c:pt>
                <c:pt idx="102">
                  <c:v>74.313837666994104</c:v>
                </c:pt>
                <c:pt idx="103">
                  <c:v>74.443004511623002</c:v>
                </c:pt>
                <c:pt idx="104">
                  <c:v>74.552299534001193</c:v>
                </c:pt>
                <c:pt idx="105">
                  <c:v>74.681466378630105</c:v>
                </c:pt>
                <c:pt idx="106">
                  <c:v>74.805665267696298</c:v>
                </c:pt>
                <c:pt idx="107">
                  <c:v>74.989479623514399</c:v>
                </c:pt>
                <c:pt idx="108">
                  <c:v>75.080765806977993</c:v>
                </c:pt>
                <c:pt idx="109">
                  <c:v>76.549417670186202</c:v>
                </c:pt>
                <c:pt idx="110">
                  <c:v>76.638219875868501</c:v>
                </c:pt>
                <c:pt idx="111">
                  <c:v>76.718328159316201</c:v>
                </c:pt>
                <c:pt idx="112">
                  <c:v>76.827623181694506</c:v>
                </c:pt>
                <c:pt idx="113">
                  <c:v>76.907110470696907</c:v>
                </c:pt>
                <c:pt idx="114">
                  <c:v>77.006469581949901</c:v>
                </c:pt>
                <c:pt idx="115">
                  <c:v>77.095892782077598</c:v>
                </c:pt>
                <c:pt idx="116">
                  <c:v>77.195251893330493</c:v>
                </c:pt>
                <c:pt idx="117">
                  <c:v>77.274739182332894</c:v>
                </c:pt>
                <c:pt idx="118">
                  <c:v>77.324418737959405</c:v>
                </c:pt>
                <c:pt idx="119">
                  <c:v>77.423777849212399</c:v>
                </c:pt>
                <c:pt idx="120">
                  <c:v>77.428745804775005</c:v>
                </c:pt>
                <c:pt idx="121">
                  <c:v>77.528104916027999</c:v>
                </c:pt>
                <c:pt idx="122">
                  <c:v>77.533072871590704</c:v>
                </c:pt>
                <c:pt idx="123">
                  <c:v>77.587720382779807</c:v>
                </c:pt>
                <c:pt idx="124">
                  <c:v>77.587720382779807</c:v>
                </c:pt>
                <c:pt idx="125">
                  <c:v>77.587720382779807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E9-4FA0-A798-B61F08BDAE7F}"/>
            </c:ext>
          </c:extLst>
        </c:ser>
        <c:ser>
          <c:idx val="6"/>
          <c:order val="6"/>
          <c:tx>
            <c:v>HEATING 127C</c:v>
          </c:tx>
          <c:spPr>
            <a:ln w="2540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'DESIGN FLOW'!$M$3:$M$128</c:f>
              <c:numCache>
                <c:formatCode>General</c:formatCode>
                <c:ptCount val="126"/>
                <c:pt idx="0">
                  <c:v>4.9744762218300496</c:v>
                </c:pt>
                <c:pt idx="1">
                  <c:v>5.2572542271664098</c:v>
                </c:pt>
                <c:pt idx="2">
                  <c:v>5.5370712062688696</c:v>
                </c:pt>
                <c:pt idx="3">
                  <c:v>5.8097973067586102</c:v>
                </c:pt>
                <c:pt idx="4">
                  <c:v>6.0996661907076897</c:v>
                </c:pt>
                <c:pt idx="5">
                  <c:v>6.3891887557990197</c:v>
                </c:pt>
                <c:pt idx="6">
                  <c:v>6.7058973512248699</c:v>
                </c:pt>
                <c:pt idx="7">
                  <c:v>7.0012986789267497</c:v>
                </c:pt>
                <c:pt idx="8">
                  <c:v>7.3136869466019903</c:v>
                </c:pt>
                <c:pt idx="9">
                  <c:v>7.6393998323297296</c:v>
                </c:pt>
                <c:pt idx="10">
                  <c:v>7.9651127180574699</c:v>
                </c:pt>
                <c:pt idx="11">
                  <c:v>8.2908256037852102</c:v>
                </c:pt>
                <c:pt idx="12">
                  <c:v>8.6165384895129495</c:v>
                </c:pt>
                <c:pt idx="13">
                  <c:v>8.9422513752406907</c:v>
                </c:pt>
                <c:pt idx="14">
                  <c:v>9.2679642609684301</c:v>
                </c:pt>
                <c:pt idx="15">
                  <c:v>9.5762593453203504</c:v>
                </c:pt>
                <c:pt idx="16">
                  <c:v>9.894009807562</c:v>
                </c:pt>
                <c:pt idx="17">
                  <c:v>10.2712296202153</c:v>
                </c:pt>
                <c:pt idx="18">
                  <c:v>10.570815803879301</c:v>
                </c:pt>
                <c:pt idx="19">
                  <c:v>10.8965286896071</c:v>
                </c:pt>
                <c:pt idx="20">
                  <c:v>11.2035403570155</c:v>
                </c:pt>
                <c:pt idx="21">
                  <c:v>11.5601469220256</c:v>
                </c:pt>
                <c:pt idx="22">
                  <c:v>11.873667346790301</c:v>
                </c:pt>
                <c:pt idx="23">
                  <c:v>12.187187771554999</c:v>
                </c:pt>
                <c:pt idx="24">
                  <c:v>12.5158399112649</c:v>
                </c:pt>
                <c:pt idx="25">
                  <c:v>12.850806003973499</c:v>
                </c:pt>
                <c:pt idx="26">
                  <c:v>13.1567787148087</c:v>
                </c:pt>
                <c:pt idx="27">
                  <c:v>13.519151925336899</c:v>
                </c:pt>
                <c:pt idx="28">
                  <c:v>13.844600433722301</c:v>
                </c:pt>
                <c:pt idx="29">
                  <c:v>14.153657546884499</c:v>
                </c:pt>
                <c:pt idx="30">
                  <c:v>14.4793704326122</c:v>
                </c:pt>
                <c:pt idx="31">
                  <c:v>14.7730055341395</c:v>
                </c:pt>
                <c:pt idx="32">
                  <c:v>15.190016728745499</c:v>
                </c:pt>
                <c:pt idx="33">
                  <c:v>15.517210127590101</c:v>
                </c:pt>
                <c:pt idx="34">
                  <c:v>15.828752387770001</c:v>
                </c:pt>
                <c:pt idx="35">
                  <c:v>16.169433098416299</c:v>
                </c:pt>
                <c:pt idx="36">
                  <c:v>16.520504516506001</c:v>
                </c:pt>
                <c:pt idx="37">
                  <c:v>16.812001099086601</c:v>
                </c:pt>
                <c:pt idx="38">
                  <c:v>17.123794630723399</c:v>
                </c:pt>
                <c:pt idx="39">
                  <c:v>17.470006928839599</c:v>
                </c:pt>
                <c:pt idx="40">
                  <c:v>17.795719814567398</c:v>
                </c:pt>
                <c:pt idx="41">
                  <c:v>18.141932112683602</c:v>
                </c:pt>
                <c:pt idx="42">
                  <c:v>18.452080629746</c:v>
                </c:pt>
                <c:pt idx="43">
                  <c:v>18.767633131337799</c:v>
                </c:pt>
                <c:pt idx="44">
                  <c:v>19.098571357478299</c:v>
                </c:pt>
                <c:pt idx="45">
                  <c:v>19.424284243206099</c:v>
                </c:pt>
                <c:pt idx="46">
                  <c:v>19.749997128933799</c:v>
                </c:pt>
                <c:pt idx="47">
                  <c:v>20.202859964704999</c:v>
                </c:pt>
                <c:pt idx="48">
                  <c:v>20.516573920595999</c:v>
                </c:pt>
                <c:pt idx="49">
                  <c:v>20.845576835472599</c:v>
                </c:pt>
                <c:pt idx="50">
                  <c:v>21.171289721200299</c:v>
                </c:pt>
                <c:pt idx="51">
                  <c:v>21.497002606928</c:v>
                </c:pt>
                <c:pt idx="52">
                  <c:v>21.838507632569801</c:v>
                </c:pt>
                <c:pt idx="53">
                  <c:v>22.132636238469399</c:v>
                </c:pt>
                <c:pt idx="54">
                  <c:v>22.4741412641112</c:v>
                </c:pt>
                <c:pt idx="55">
                  <c:v>22.799854149839</c:v>
                </c:pt>
                <c:pt idx="56">
                  <c:v>23.1255670355667</c:v>
                </c:pt>
                <c:pt idx="57">
                  <c:v>23.4512799212945</c:v>
                </c:pt>
                <c:pt idx="58">
                  <c:v>23.7769928070222</c:v>
                </c:pt>
                <c:pt idx="59">
                  <c:v>24.1044474728875</c:v>
                </c:pt>
                <c:pt idx="60">
                  <c:v>24.433970502666199</c:v>
                </c:pt>
                <c:pt idx="61">
                  <c:v>24.744878257224499</c:v>
                </c:pt>
                <c:pt idx="62">
                  <c:v>25.1982853992887</c:v>
                </c:pt>
                <c:pt idx="63">
                  <c:v>25.5239982850164</c:v>
                </c:pt>
                <c:pt idx="64">
                  <c:v>25.8497111707442</c:v>
                </c:pt>
                <c:pt idx="65">
                  <c:v>26.1959234688604</c:v>
                </c:pt>
                <c:pt idx="66">
                  <c:v>26.504838224992</c:v>
                </c:pt>
                <c:pt idx="67">
                  <c:v>26.821297903738898</c:v>
                </c:pt>
                <c:pt idx="68">
                  <c:v>27.160458783612199</c:v>
                </c:pt>
                <c:pt idx="69">
                  <c:v>27.478275599382901</c:v>
                </c:pt>
                <c:pt idx="70">
                  <c:v>27.803988485110601</c:v>
                </c:pt>
                <c:pt idx="71">
                  <c:v>28.129701370838301</c:v>
                </c:pt>
                <c:pt idx="72">
                  <c:v>28.455414256566101</c:v>
                </c:pt>
                <c:pt idx="73">
                  <c:v>28.781127142293801</c:v>
                </c:pt>
                <c:pt idx="74">
                  <c:v>29.102891993042999</c:v>
                </c:pt>
                <c:pt idx="75">
                  <c:v>29.427000989560799</c:v>
                </c:pt>
                <c:pt idx="76">
                  <c:v>29.749012592496101</c:v>
                </c:pt>
                <c:pt idx="77">
                  <c:v>30.202419734560301</c:v>
                </c:pt>
                <c:pt idx="78">
                  <c:v>30.528132620288101</c:v>
                </c:pt>
                <c:pt idx="79">
                  <c:v>30.853845506015801</c:v>
                </c:pt>
                <c:pt idx="80">
                  <c:v>31.179558391743502</c:v>
                </c:pt>
                <c:pt idx="81">
                  <c:v>31.505271277471302</c:v>
                </c:pt>
                <c:pt idx="82">
                  <c:v>31.830984163198998</c:v>
                </c:pt>
                <c:pt idx="83">
                  <c:v>32.177196461315198</c:v>
                </c:pt>
                <c:pt idx="84">
                  <c:v>32.498202074568603</c:v>
                </c:pt>
                <c:pt idx="85">
                  <c:v>32.805845107894598</c:v>
                </c:pt>
                <c:pt idx="86">
                  <c:v>33.133835706109998</c:v>
                </c:pt>
                <c:pt idx="87">
                  <c:v>33.461826304325299</c:v>
                </c:pt>
                <c:pt idx="88">
                  <c:v>33.780326433842298</c:v>
                </c:pt>
                <c:pt idx="89">
                  <c:v>34.110974363293202</c:v>
                </c:pt>
                <c:pt idx="90">
                  <c:v>34.436687249020899</c:v>
                </c:pt>
                <c:pt idx="91">
                  <c:v>34.762400134748702</c:v>
                </c:pt>
                <c:pt idx="92">
                  <c:v>35.206554069831903</c:v>
                </c:pt>
                <c:pt idx="93">
                  <c:v>35.532266955559699</c:v>
                </c:pt>
                <c:pt idx="94">
                  <c:v>35.857979841287403</c:v>
                </c:pt>
                <c:pt idx="95">
                  <c:v>36.183692727015199</c:v>
                </c:pt>
                <c:pt idx="96">
                  <c:v>36.509405612742903</c:v>
                </c:pt>
                <c:pt idx="97">
                  <c:v>36.835118498470599</c:v>
                </c:pt>
                <c:pt idx="98">
                  <c:v>37.163109096686</c:v>
                </c:pt>
                <c:pt idx="99">
                  <c:v>37.479711132463301</c:v>
                </c:pt>
                <c:pt idx="100">
                  <c:v>37.812257155653903</c:v>
                </c:pt>
                <c:pt idx="101">
                  <c:v>38.142905085104701</c:v>
                </c:pt>
                <c:pt idx="102">
                  <c:v>38.463682927109303</c:v>
                </c:pt>
                <c:pt idx="103">
                  <c:v>38.7893958128371</c:v>
                </c:pt>
                <c:pt idx="104">
                  <c:v>39.115108698564804</c:v>
                </c:pt>
                <c:pt idx="105">
                  <c:v>39.4408215842925</c:v>
                </c:pt>
                <c:pt idx="106">
                  <c:v>39.766534470020297</c:v>
                </c:pt>
                <c:pt idx="107">
                  <c:v>40.210688405103603</c:v>
                </c:pt>
                <c:pt idx="108">
                  <c:v>40.491985897322998</c:v>
                </c:pt>
                <c:pt idx="109">
                  <c:v>44.741058542952999</c:v>
                </c:pt>
                <c:pt idx="110">
                  <c:v>45.088979125434903</c:v>
                </c:pt>
                <c:pt idx="111">
                  <c:v>45.392484314408499</c:v>
                </c:pt>
                <c:pt idx="112">
                  <c:v>45.718197200136203</c:v>
                </c:pt>
                <c:pt idx="113">
                  <c:v>46.043910085863999</c:v>
                </c:pt>
                <c:pt idx="114">
                  <c:v>46.369622971591703</c:v>
                </c:pt>
                <c:pt idx="115">
                  <c:v>46.695335857319499</c:v>
                </c:pt>
                <c:pt idx="116">
                  <c:v>47.021048743047203</c:v>
                </c:pt>
                <c:pt idx="117">
                  <c:v>47.3467616287749</c:v>
                </c:pt>
                <c:pt idx="118">
                  <c:v>47.672474514502703</c:v>
                </c:pt>
                <c:pt idx="119">
                  <c:v>47.9981874002304</c:v>
                </c:pt>
                <c:pt idx="120">
                  <c:v>48.323900285958203</c:v>
                </c:pt>
                <c:pt idx="121">
                  <c:v>48.6496131716859</c:v>
                </c:pt>
                <c:pt idx="122">
                  <c:v>48.975326057413596</c:v>
                </c:pt>
                <c:pt idx="123">
                  <c:v>49.3010389431414</c:v>
                </c:pt>
                <c:pt idx="124">
                  <c:v>49.626751828869097</c:v>
                </c:pt>
                <c:pt idx="125">
                  <c:v>49.863633927580203</c:v>
                </c:pt>
              </c:numCache>
            </c:numRef>
          </c:xVal>
          <c:yVal>
            <c:numRef>
              <c:f>'DESIGN FLOW'!$N$3:$N$128</c:f>
              <c:numCache>
                <c:formatCode>General</c:formatCode>
                <c:ptCount val="126"/>
                <c:pt idx="0">
                  <c:v>23.1587992383966</c:v>
                </c:pt>
                <c:pt idx="1">
                  <c:v>24.049553670779598</c:v>
                </c:pt>
                <c:pt idx="2">
                  <c:v>25.326483848899201</c:v>
                </c:pt>
                <c:pt idx="3">
                  <c:v>26.546944932123299</c:v>
                </c:pt>
                <c:pt idx="4">
                  <c:v>27.702739793773599</c:v>
                </c:pt>
                <c:pt idx="5">
                  <c:v>28.876403524161901</c:v>
                </c:pt>
                <c:pt idx="6">
                  <c:v>30.173813964202498</c:v>
                </c:pt>
                <c:pt idx="7">
                  <c:v>31.243898518829798</c:v>
                </c:pt>
                <c:pt idx="8">
                  <c:v>32.2228341624498</c:v>
                </c:pt>
                <c:pt idx="9">
                  <c:v>33.293428586200697</c:v>
                </c:pt>
                <c:pt idx="10">
                  <c:v>34.364023009951602</c:v>
                </c:pt>
                <c:pt idx="11">
                  <c:v>35.365066055825402</c:v>
                </c:pt>
                <c:pt idx="12">
                  <c:v>36.271717946008799</c:v>
                </c:pt>
                <c:pt idx="13">
                  <c:v>37.133658236128497</c:v>
                </c:pt>
                <c:pt idx="14">
                  <c:v>38.022922281842597</c:v>
                </c:pt>
                <c:pt idx="15">
                  <c:v>38.865596088834799</c:v>
                </c:pt>
                <c:pt idx="16">
                  <c:v>39.666251011173202</c:v>
                </c:pt>
                <c:pt idx="17">
                  <c:v>40.694221211147102</c:v>
                </c:pt>
                <c:pt idx="18">
                  <c:v>41.321644775441598</c:v>
                </c:pt>
                <c:pt idx="19">
                  <c:v>42.148809376622701</c:v>
                </c:pt>
                <c:pt idx="20">
                  <c:v>42.895179332074399</c:v>
                </c:pt>
                <c:pt idx="21">
                  <c:v>43.683761529141201</c:v>
                </c:pt>
                <c:pt idx="22">
                  <c:v>44.222930824028701</c:v>
                </c:pt>
                <c:pt idx="23">
                  <c:v>44.886006775302199</c:v>
                </c:pt>
                <c:pt idx="24">
                  <c:v>45.598433520437098</c:v>
                </c:pt>
                <c:pt idx="25">
                  <c:v>46.118205871179299</c:v>
                </c:pt>
                <c:pt idx="26">
                  <c:v>46.742236289354302</c:v>
                </c:pt>
                <c:pt idx="27">
                  <c:v>47.457424749281998</c:v>
                </c:pt>
                <c:pt idx="28">
                  <c:v>47.989262134961997</c:v>
                </c:pt>
                <c:pt idx="29">
                  <c:v>48.435757141155101</c:v>
                </c:pt>
                <c:pt idx="30">
                  <c:v>49.083338337684097</c:v>
                </c:pt>
                <c:pt idx="31">
                  <c:v>49.625109359784503</c:v>
                </c:pt>
                <c:pt idx="32">
                  <c:v>50.586881899782099</c:v>
                </c:pt>
                <c:pt idx="33">
                  <c:v>50.706609628842003</c:v>
                </c:pt>
                <c:pt idx="34">
                  <c:v>51.298364107147201</c:v>
                </c:pt>
                <c:pt idx="35">
                  <c:v>51.861353576815603</c:v>
                </c:pt>
                <c:pt idx="36">
                  <c:v>52.325997543746801</c:v>
                </c:pt>
                <c:pt idx="37">
                  <c:v>52.680599171907403</c:v>
                </c:pt>
                <c:pt idx="38">
                  <c:v>53.1686901906481</c:v>
                </c:pt>
                <c:pt idx="39">
                  <c:v>53.622302748560699</c:v>
                </c:pt>
                <c:pt idx="40">
                  <c:v>54.034643060260599</c:v>
                </c:pt>
                <c:pt idx="41">
                  <c:v>54.391953710343401</c:v>
                </c:pt>
                <c:pt idx="42">
                  <c:v>54.623621791965803</c:v>
                </c:pt>
                <c:pt idx="43">
                  <c:v>55.053658415963902</c:v>
                </c:pt>
                <c:pt idx="44">
                  <c:v>55.619420884745601</c:v>
                </c:pt>
                <c:pt idx="45">
                  <c:v>56.036729152008199</c:v>
                </c:pt>
                <c:pt idx="46">
                  <c:v>56.463973330396001</c:v>
                </c:pt>
                <c:pt idx="47">
                  <c:v>56.699512870601602</c:v>
                </c:pt>
                <c:pt idx="48">
                  <c:v>57.076687849789401</c:v>
                </c:pt>
                <c:pt idx="49">
                  <c:v>57.666218576557</c:v>
                </c:pt>
                <c:pt idx="50">
                  <c:v>57.979199777003899</c:v>
                </c:pt>
                <c:pt idx="51">
                  <c:v>58.406443955391801</c:v>
                </c:pt>
                <c:pt idx="52">
                  <c:v>58.610461330497898</c:v>
                </c:pt>
                <c:pt idx="53">
                  <c:v>58.890985221268799</c:v>
                </c:pt>
                <c:pt idx="54">
                  <c:v>59.2360925343541</c:v>
                </c:pt>
                <c:pt idx="55">
                  <c:v>59.4937165156744</c:v>
                </c:pt>
                <c:pt idx="56">
                  <c:v>60.033094548190597</c:v>
                </c:pt>
                <c:pt idx="57">
                  <c:v>60.511437698079902</c:v>
                </c:pt>
                <c:pt idx="58">
                  <c:v>60.696671469773001</c:v>
                </c:pt>
                <c:pt idx="59">
                  <c:v>60.7241413417076</c:v>
                </c:pt>
                <c:pt idx="60">
                  <c:v>61.043186370267797</c:v>
                </c:pt>
                <c:pt idx="61">
                  <c:v>61.336916742909402</c:v>
                </c:pt>
                <c:pt idx="62">
                  <c:v>61.903884671496698</c:v>
                </c:pt>
                <c:pt idx="63">
                  <c:v>62.216865871943597</c:v>
                </c:pt>
                <c:pt idx="64">
                  <c:v>62.529847072390503</c:v>
                </c:pt>
                <c:pt idx="65">
                  <c:v>62.744615612868103</c:v>
                </c:pt>
                <c:pt idx="66">
                  <c:v>62.949018322988998</c:v>
                </c:pt>
                <c:pt idx="67">
                  <c:v>63.249579634529297</c:v>
                </c:pt>
                <c:pt idx="68">
                  <c:v>63.5469531745835</c:v>
                </c:pt>
                <c:pt idx="69">
                  <c:v>63.905970763244298</c:v>
                </c:pt>
                <c:pt idx="70">
                  <c:v>64.154368541376698</c:v>
                </c:pt>
                <c:pt idx="71">
                  <c:v>64.402766319509198</c:v>
                </c:pt>
                <c:pt idx="72">
                  <c:v>64.676003875454896</c:v>
                </c:pt>
                <c:pt idx="73">
                  <c:v>64.934337564712607</c:v>
                </c:pt>
                <c:pt idx="74">
                  <c:v>64.989647469976802</c:v>
                </c:pt>
                <c:pt idx="75">
                  <c:v>65.216890037338302</c:v>
                </c:pt>
                <c:pt idx="76">
                  <c:v>65.490127593284001</c:v>
                </c:pt>
                <c:pt idx="77">
                  <c:v>65.9229607216798</c:v>
                </c:pt>
                <c:pt idx="78">
                  <c:v>66.121678944185803</c:v>
                </c:pt>
                <c:pt idx="79">
                  <c:v>66.325365122254397</c:v>
                </c:pt>
                <c:pt idx="80">
                  <c:v>66.538987211448301</c:v>
                </c:pt>
                <c:pt idx="81">
                  <c:v>66.722801567266302</c:v>
                </c:pt>
                <c:pt idx="82">
                  <c:v>66.901647967521697</c:v>
                </c:pt>
                <c:pt idx="83">
                  <c:v>67.015528795034697</c:v>
                </c:pt>
                <c:pt idx="84">
                  <c:v>67.139116243416296</c:v>
                </c:pt>
                <c:pt idx="85">
                  <c:v>67.398061373358701</c:v>
                </c:pt>
                <c:pt idx="86">
                  <c:v>67.496146649851994</c:v>
                </c:pt>
                <c:pt idx="87">
                  <c:v>67.717539131079803</c:v>
                </c:pt>
                <c:pt idx="88">
                  <c:v>67.892341105973301</c:v>
                </c:pt>
                <c:pt idx="89">
                  <c:v>68.064149569181595</c:v>
                </c:pt>
                <c:pt idx="90">
                  <c:v>68.242995969436905</c:v>
                </c:pt>
                <c:pt idx="91">
                  <c:v>68.411906458567003</c:v>
                </c:pt>
                <c:pt idx="92">
                  <c:v>68.610624681072906</c:v>
                </c:pt>
                <c:pt idx="93">
                  <c:v>68.784503125765696</c:v>
                </c:pt>
                <c:pt idx="94">
                  <c:v>68.9583815704584</c:v>
                </c:pt>
                <c:pt idx="95">
                  <c:v>69.097484326212594</c:v>
                </c:pt>
                <c:pt idx="96">
                  <c:v>69.142195926276401</c:v>
                </c:pt>
                <c:pt idx="97">
                  <c:v>69.211747304153505</c:v>
                </c:pt>
                <c:pt idx="98">
                  <c:v>69.310123742877593</c:v>
                </c:pt>
                <c:pt idx="99">
                  <c:v>69.498687682585199</c:v>
                </c:pt>
                <c:pt idx="100">
                  <c:v>69.667474427767203</c:v>
                </c:pt>
                <c:pt idx="101">
                  <c:v>69.977403884082705</c:v>
                </c:pt>
                <c:pt idx="102">
                  <c:v>70.188541995495299</c:v>
                </c:pt>
                <c:pt idx="103">
                  <c:v>70.3794534306885</c:v>
                </c:pt>
                <c:pt idx="104">
                  <c:v>70.498447794879596</c:v>
                </c:pt>
                <c:pt idx="105">
                  <c:v>70.5679991727567</c:v>
                </c:pt>
                <c:pt idx="106">
                  <c:v>70.632582595071099</c:v>
                </c:pt>
                <c:pt idx="107">
                  <c:v>70.761749439699997</c:v>
                </c:pt>
                <c:pt idx="108">
                  <c:v>70.845583689819705</c:v>
                </c:pt>
                <c:pt idx="109">
                  <c:v>72.127937219428503</c:v>
                </c:pt>
                <c:pt idx="110">
                  <c:v>72.204940530649594</c:v>
                </c:pt>
                <c:pt idx="111">
                  <c:v>72.286911797433305</c:v>
                </c:pt>
                <c:pt idx="112">
                  <c:v>72.3862709086862</c:v>
                </c:pt>
                <c:pt idx="113">
                  <c:v>72.455822286563304</c:v>
                </c:pt>
                <c:pt idx="114">
                  <c:v>72.565117308941595</c:v>
                </c:pt>
                <c:pt idx="115">
                  <c:v>72.644604597943996</c:v>
                </c:pt>
                <c:pt idx="116">
                  <c:v>72.724091886946397</c:v>
                </c:pt>
                <c:pt idx="117">
                  <c:v>72.828418953761997</c:v>
                </c:pt>
                <c:pt idx="118">
                  <c:v>72.848290776012604</c:v>
                </c:pt>
                <c:pt idx="119">
                  <c:v>72.942681931702893</c:v>
                </c:pt>
                <c:pt idx="120">
                  <c:v>73.002297398454701</c:v>
                </c:pt>
                <c:pt idx="121">
                  <c:v>73.051976954081198</c:v>
                </c:pt>
                <c:pt idx="122">
                  <c:v>73.136432198646204</c:v>
                </c:pt>
                <c:pt idx="123">
                  <c:v>73.161271976459503</c:v>
                </c:pt>
                <c:pt idx="124">
                  <c:v>73.265599043275103</c:v>
                </c:pt>
                <c:pt idx="125">
                  <c:v>73.270566998837793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6E9-4FA0-A798-B61F08BDAE7F}"/>
            </c:ext>
          </c:extLst>
        </c:ser>
        <c:ser>
          <c:idx val="7"/>
          <c:order val="7"/>
          <c:tx>
            <c:v>HEATING 150C</c:v>
          </c:tx>
          <c:spPr>
            <a:ln w="25400" cap="rnd">
              <a:solidFill>
                <a:srgbClr val="FF0000"/>
              </a:solidFill>
              <a:prstDash val="lgDashDotDot"/>
              <a:round/>
            </a:ln>
            <a:effectLst/>
          </c:spPr>
          <c:marker>
            <c:symbol val="none"/>
          </c:marker>
          <c:xVal>
            <c:numRef>
              <c:f>'DESIGN FLOW'!$O$3:$O$128</c:f>
              <c:numCache>
                <c:formatCode>General</c:formatCode>
                <c:ptCount val="126"/>
                <c:pt idx="0">
                  <c:v>4.8678792774100597</c:v>
                </c:pt>
                <c:pt idx="1">
                  <c:v>5.2043082580795001</c:v>
                </c:pt>
                <c:pt idx="2">
                  <c:v>5.5145110063916301</c:v>
                </c:pt>
                <c:pt idx="3">
                  <c:v>5.8101436256163703</c:v>
                </c:pt>
                <c:pt idx="4">
                  <c:v>6.0682052869726304</c:v>
                </c:pt>
                <c:pt idx="5">
                  <c:v>6.3661585517576604</c:v>
                </c:pt>
                <c:pt idx="6">
                  <c:v>6.6918714374853998</c:v>
                </c:pt>
                <c:pt idx="7">
                  <c:v>7.0175843232131401</c:v>
                </c:pt>
                <c:pt idx="8">
                  <c:v>7.3432972089408803</c:v>
                </c:pt>
                <c:pt idx="9">
                  <c:v>7.6690100946686197</c:v>
                </c:pt>
                <c:pt idx="10">
                  <c:v>7.99472298039636</c:v>
                </c:pt>
                <c:pt idx="11">
                  <c:v>8.3204358661241002</c:v>
                </c:pt>
                <c:pt idx="12">
                  <c:v>8.6625988975956592</c:v>
                </c:pt>
                <c:pt idx="13">
                  <c:v>8.9544438362037599</c:v>
                </c:pt>
                <c:pt idx="14">
                  <c:v>9.2975745233073095</c:v>
                </c:pt>
                <c:pt idx="15">
                  <c:v>9.6232874090350506</c:v>
                </c:pt>
                <c:pt idx="16">
                  <c:v>9.9330563073495401</c:v>
                </c:pt>
                <c:pt idx="17">
                  <c:v>10.274713180490499</c:v>
                </c:pt>
                <c:pt idx="18">
                  <c:v>10.603716095367</c:v>
                </c:pt>
                <c:pt idx="19">
                  <c:v>10.926138951945999</c:v>
                </c:pt>
                <c:pt idx="20">
                  <c:v>11.2518518376737</c:v>
                </c:pt>
                <c:pt idx="21">
                  <c:v>11.5545345193601</c:v>
                </c:pt>
                <c:pt idx="22">
                  <c:v>11.9032776091292</c:v>
                </c:pt>
                <c:pt idx="23">
                  <c:v>12.2289904948569</c:v>
                </c:pt>
                <c:pt idx="24">
                  <c:v>12.5428592756491</c:v>
                </c:pt>
                <c:pt idx="25">
                  <c:v>12.9081758872551</c:v>
                </c:pt>
                <c:pt idx="26">
                  <c:v>13.180002449976399</c:v>
                </c:pt>
                <c:pt idx="27">
                  <c:v>13.5432306002059</c:v>
                </c:pt>
                <c:pt idx="28">
                  <c:v>13.8615029584741</c:v>
                </c:pt>
                <c:pt idx="29">
                  <c:v>14.1965924272758</c:v>
                </c:pt>
                <c:pt idx="30">
                  <c:v>14.501930632489501</c:v>
                </c:pt>
                <c:pt idx="31">
                  <c:v>14.7902781871705</c:v>
                </c:pt>
                <c:pt idx="32">
                  <c:v>15.212224425499601</c:v>
                </c:pt>
                <c:pt idx="33">
                  <c:v>15.5157296144732</c:v>
                </c:pt>
                <c:pt idx="34">
                  <c:v>15.843293141597099</c:v>
                </c:pt>
                <c:pt idx="35">
                  <c:v>16.1829475258427</c:v>
                </c:pt>
                <c:pt idx="36">
                  <c:v>16.502218880816098</c:v>
                </c:pt>
                <c:pt idx="37">
                  <c:v>16.803776026214699</c:v>
                </c:pt>
                <c:pt idx="38">
                  <c:v>17.144294043111898</c:v>
                </c:pt>
                <c:pt idx="39">
                  <c:v>17.4631737913768</c:v>
                </c:pt>
                <c:pt idx="40">
                  <c:v>17.823356059417002</c:v>
                </c:pt>
                <c:pt idx="41">
                  <c:v>18.131796292113702</c:v>
                </c:pt>
                <c:pt idx="42">
                  <c:v>18.425995398637902</c:v>
                </c:pt>
                <c:pt idx="43">
                  <c:v>18.772858471750599</c:v>
                </c:pt>
                <c:pt idx="44">
                  <c:v>19.098571357478299</c:v>
                </c:pt>
                <c:pt idx="45">
                  <c:v>19.424284243206099</c:v>
                </c:pt>
                <c:pt idx="46">
                  <c:v>19.758222201805701</c:v>
                </c:pt>
                <c:pt idx="47">
                  <c:v>20.194151064017099</c:v>
                </c:pt>
                <c:pt idx="48">
                  <c:v>20.519863949744799</c:v>
                </c:pt>
                <c:pt idx="49">
                  <c:v>20.845576835472599</c:v>
                </c:pt>
                <c:pt idx="50">
                  <c:v>21.1745797503491</c:v>
                </c:pt>
                <c:pt idx="51">
                  <c:v>21.5002926360768</c:v>
                </c:pt>
                <c:pt idx="52">
                  <c:v>21.810377883347901</c:v>
                </c:pt>
                <c:pt idx="53">
                  <c:v>22.1484283783835</c:v>
                </c:pt>
                <c:pt idx="54">
                  <c:v>22.4741412641112</c:v>
                </c:pt>
                <c:pt idx="55">
                  <c:v>22.8203535622274</c:v>
                </c:pt>
                <c:pt idx="56">
                  <c:v>23.133792108438598</c:v>
                </c:pt>
                <c:pt idx="57">
                  <c:v>23.4460545808817</c:v>
                </c:pt>
                <c:pt idx="58">
                  <c:v>23.7769928070222</c:v>
                </c:pt>
                <c:pt idx="59">
                  <c:v>24.1027056927499</c:v>
                </c:pt>
                <c:pt idx="60">
                  <c:v>24.4284185784777</c:v>
                </c:pt>
                <c:pt idx="61">
                  <c:v>24.756409176693001</c:v>
                </c:pt>
                <c:pt idx="62">
                  <c:v>25.1982853992887</c:v>
                </c:pt>
                <c:pt idx="63">
                  <c:v>25.508322263778201</c:v>
                </c:pt>
                <c:pt idx="64">
                  <c:v>25.833767183330899</c:v>
                </c:pt>
                <c:pt idx="65">
                  <c:v>26.175424056471901</c:v>
                </c:pt>
                <c:pt idx="66">
                  <c:v>26.5011369421997</c:v>
                </c:pt>
                <c:pt idx="67">
                  <c:v>26.826849827927401</c:v>
                </c:pt>
                <c:pt idx="68">
                  <c:v>27.152562713655101</c:v>
                </c:pt>
                <c:pt idx="69">
                  <c:v>27.457918544024899</c:v>
                </c:pt>
                <c:pt idx="70">
                  <c:v>27.783489072722201</c:v>
                </c:pt>
                <c:pt idx="71">
                  <c:v>28.129701370838301</c:v>
                </c:pt>
                <c:pt idx="72">
                  <c:v>28.455414256566101</c:v>
                </c:pt>
                <c:pt idx="73">
                  <c:v>28.781127142293801</c:v>
                </c:pt>
                <c:pt idx="74">
                  <c:v>29.106840028021601</c:v>
                </c:pt>
                <c:pt idx="75">
                  <c:v>29.432552913749301</c:v>
                </c:pt>
                <c:pt idx="76">
                  <c:v>29.758265799477002</c:v>
                </c:pt>
                <c:pt idx="77">
                  <c:v>30.204270375956501</c:v>
                </c:pt>
                <c:pt idx="78">
                  <c:v>30.5336845444766</c:v>
                </c:pt>
                <c:pt idx="79">
                  <c:v>30.849615468538801</c:v>
                </c:pt>
                <c:pt idx="80">
                  <c:v>31.179558391743502</c:v>
                </c:pt>
                <c:pt idx="81">
                  <c:v>31.505271277471302</c:v>
                </c:pt>
                <c:pt idx="82">
                  <c:v>31.830984163198998</c:v>
                </c:pt>
                <c:pt idx="83">
                  <c:v>32.156697048926802</c:v>
                </c:pt>
                <c:pt idx="84">
                  <c:v>32.482409934654498</c:v>
                </c:pt>
                <c:pt idx="85">
                  <c:v>32.810400532869799</c:v>
                </c:pt>
                <c:pt idx="86">
                  <c:v>33.131985064713803</c:v>
                </c:pt>
                <c:pt idx="87">
                  <c:v>33.4713926967733</c:v>
                </c:pt>
                <c:pt idx="88">
                  <c:v>33.797105582500997</c:v>
                </c:pt>
                <c:pt idx="89">
                  <c:v>34.108696650805598</c:v>
                </c:pt>
                <c:pt idx="90">
                  <c:v>34.436687249020899</c:v>
                </c:pt>
                <c:pt idx="91">
                  <c:v>34.762400134748702</c:v>
                </c:pt>
                <c:pt idx="92">
                  <c:v>35.206554069831903</c:v>
                </c:pt>
                <c:pt idx="93">
                  <c:v>35.532266955559699</c:v>
                </c:pt>
                <c:pt idx="94">
                  <c:v>35.857979841287403</c:v>
                </c:pt>
                <c:pt idx="95">
                  <c:v>36.183692727015199</c:v>
                </c:pt>
                <c:pt idx="96">
                  <c:v>36.509405612742903</c:v>
                </c:pt>
                <c:pt idx="97">
                  <c:v>36.828285361007801</c:v>
                </c:pt>
                <c:pt idx="98">
                  <c:v>37.164779419176902</c:v>
                </c:pt>
                <c:pt idx="99">
                  <c:v>37.497932832364199</c:v>
                </c:pt>
                <c:pt idx="100">
                  <c:v>37.809979443166299</c:v>
                </c:pt>
                <c:pt idx="101">
                  <c:v>38.1379700413816</c:v>
                </c:pt>
                <c:pt idx="102">
                  <c:v>38.467912964586297</c:v>
                </c:pt>
                <c:pt idx="103">
                  <c:v>38.7893958128371</c:v>
                </c:pt>
                <c:pt idx="104">
                  <c:v>39.115108698564804</c:v>
                </c:pt>
                <c:pt idx="105">
                  <c:v>39.4408215842925</c:v>
                </c:pt>
                <c:pt idx="106">
                  <c:v>39.766534470020297</c:v>
                </c:pt>
                <c:pt idx="107">
                  <c:v>40.210688405103603</c:v>
                </c:pt>
                <c:pt idx="108">
                  <c:v>40.491985897322998</c:v>
                </c:pt>
                <c:pt idx="109">
                  <c:v>44.7570025303663</c:v>
                </c:pt>
                <c:pt idx="110">
                  <c:v>45.088979125434903</c:v>
                </c:pt>
                <c:pt idx="111">
                  <c:v>45.371984902020102</c:v>
                </c:pt>
                <c:pt idx="112">
                  <c:v>45.718197200136203</c:v>
                </c:pt>
                <c:pt idx="113">
                  <c:v>46.043910085863999</c:v>
                </c:pt>
                <c:pt idx="114">
                  <c:v>46.369622971591703</c:v>
                </c:pt>
                <c:pt idx="115">
                  <c:v>46.695335857319499</c:v>
                </c:pt>
                <c:pt idx="116">
                  <c:v>47.021048743047203</c:v>
                </c:pt>
                <c:pt idx="117">
                  <c:v>47.3467616287749</c:v>
                </c:pt>
                <c:pt idx="118">
                  <c:v>47.672474514502703</c:v>
                </c:pt>
                <c:pt idx="119">
                  <c:v>47.9981874002304</c:v>
                </c:pt>
                <c:pt idx="120">
                  <c:v>48.323900285958203</c:v>
                </c:pt>
                <c:pt idx="121">
                  <c:v>48.6496131716859</c:v>
                </c:pt>
                <c:pt idx="122">
                  <c:v>48.975326057413596</c:v>
                </c:pt>
                <c:pt idx="123">
                  <c:v>49.3010389431414</c:v>
                </c:pt>
                <c:pt idx="124">
                  <c:v>49.626751828869097</c:v>
                </c:pt>
                <c:pt idx="125">
                  <c:v>49.863633927580203</c:v>
                </c:pt>
              </c:numCache>
            </c:numRef>
          </c:xVal>
          <c:yVal>
            <c:numRef>
              <c:f>'DESIGN FLOW'!$P$3:$P$128</c:f>
              <c:numCache>
                <c:formatCode>General</c:formatCode>
                <c:ptCount val="126"/>
                <c:pt idx="0">
                  <c:v>15.8688212457654</c:v>
                </c:pt>
                <c:pt idx="1">
                  <c:v>17.077311921776602</c:v>
                </c:pt>
                <c:pt idx="2">
                  <c:v>18.388852190316001</c:v>
                </c:pt>
                <c:pt idx="3">
                  <c:v>19.4800675724737</c:v>
                </c:pt>
                <c:pt idx="4">
                  <c:v>20.8016373941579</c:v>
                </c:pt>
                <c:pt idx="5">
                  <c:v>21.757835769729599</c:v>
                </c:pt>
                <c:pt idx="6">
                  <c:v>23.017212504861099</c:v>
                </c:pt>
                <c:pt idx="7">
                  <c:v>24.1821980843023</c:v>
                </c:pt>
                <c:pt idx="8">
                  <c:v>25.295020130335701</c:v>
                </c:pt>
                <c:pt idx="9">
                  <c:v>26.248867598364299</c:v>
                </c:pt>
                <c:pt idx="10">
                  <c:v>27.356721688835101</c:v>
                </c:pt>
                <c:pt idx="11">
                  <c:v>28.3105691568637</c:v>
                </c:pt>
                <c:pt idx="12">
                  <c:v>29.3808087266458</c:v>
                </c:pt>
                <c:pt idx="13">
                  <c:v>30.3029280751147</c:v>
                </c:pt>
                <c:pt idx="14">
                  <c:v>31.0752364274779</c:v>
                </c:pt>
                <c:pt idx="15">
                  <c:v>31.929724784253501</c:v>
                </c:pt>
                <c:pt idx="16">
                  <c:v>32.772557552978398</c:v>
                </c:pt>
                <c:pt idx="17">
                  <c:v>33.631249564460902</c:v>
                </c:pt>
                <c:pt idx="18">
                  <c:v>34.388862787764801</c:v>
                </c:pt>
                <c:pt idx="19">
                  <c:v>35.109216344349001</c:v>
                </c:pt>
                <c:pt idx="20">
                  <c:v>35.914025145498101</c:v>
                </c:pt>
                <c:pt idx="21">
                  <c:v>36.662806447801799</c:v>
                </c:pt>
                <c:pt idx="22">
                  <c:v>37.416047289163203</c:v>
                </c:pt>
                <c:pt idx="23">
                  <c:v>38.050246037437198</c:v>
                </c:pt>
                <c:pt idx="24">
                  <c:v>38.802560108141002</c:v>
                </c:pt>
                <c:pt idx="25">
                  <c:v>39.504260174433902</c:v>
                </c:pt>
                <c:pt idx="26">
                  <c:v>40.171166461193899</c:v>
                </c:pt>
                <c:pt idx="27">
                  <c:v>40.843574590143596</c:v>
                </c:pt>
                <c:pt idx="28">
                  <c:v>41.352777296967503</c:v>
                </c:pt>
                <c:pt idx="29">
                  <c:v>41.891966074033697</c:v>
                </c:pt>
                <c:pt idx="30">
                  <c:v>42.4259503262248</c:v>
                </c:pt>
                <c:pt idx="31">
                  <c:v>43.105140822432602</c:v>
                </c:pt>
                <c:pt idx="32">
                  <c:v>43.842882223486001</c:v>
                </c:pt>
                <c:pt idx="33">
                  <c:v>44.292482201905798</c:v>
                </c:pt>
                <c:pt idx="34">
                  <c:v>44.983649019559302</c:v>
                </c:pt>
                <c:pt idx="35">
                  <c:v>45.651714843846499</c:v>
                </c:pt>
                <c:pt idx="36">
                  <c:v>46.090620644239301</c:v>
                </c:pt>
                <c:pt idx="37">
                  <c:v>46.575257782942998</c:v>
                </c:pt>
                <c:pt idx="38">
                  <c:v>47.168928472679603</c:v>
                </c:pt>
                <c:pt idx="39">
                  <c:v>47.548403847580403</c:v>
                </c:pt>
                <c:pt idx="40">
                  <c:v>48.0124873272174</c:v>
                </c:pt>
                <c:pt idx="41">
                  <c:v>48.395019905541403</c:v>
                </c:pt>
                <c:pt idx="42">
                  <c:v>48.921197370419598</c:v>
                </c:pt>
                <c:pt idx="43">
                  <c:v>49.423670590184699</c:v>
                </c:pt>
                <c:pt idx="44">
                  <c:v>50.089140066267198</c:v>
                </c:pt>
                <c:pt idx="45">
                  <c:v>50.571978033094197</c:v>
                </c:pt>
                <c:pt idx="46">
                  <c:v>50.713288769098398</c:v>
                </c:pt>
                <c:pt idx="47">
                  <c:v>51.426466389869802</c:v>
                </c:pt>
                <c:pt idx="48">
                  <c:v>51.848742612694998</c:v>
                </c:pt>
                <c:pt idx="49">
                  <c:v>52.275986791082801</c:v>
                </c:pt>
                <c:pt idx="50">
                  <c:v>52.4255774530248</c:v>
                </c:pt>
                <c:pt idx="51">
                  <c:v>52.862757542537899</c:v>
                </c:pt>
                <c:pt idx="52">
                  <c:v>53.315117496270197</c:v>
                </c:pt>
                <c:pt idx="53">
                  <c:v>53.741533682064301</c:v>
                </c:pt>
                <c:pt idx="54">
                  <c:v>54.163809904889497</c:v>
                </c:pt>
                <c:pt idx="55">
                  <c:v>54.425582947998301</c:v>
                </c:pt>
                <c:pt idx="56">
                  <c:v>54.6479095747165</c:v>
                </c:pt>
                <c:pt idx="57">
                  <c:v>55.053658415963902</c:v>
                </c:pt>
                <c:pt idx="58">
                  <c:v>55.549869506868497</c:v>
                </c:pt>
                <c:pt idx="59">
                  <c:v>55.937370040755198</c:v>
                </c:pt>
                <c:pt idx="60">
                  <c:v>56.2602871523274</c:v>
                </c:pt>
                <c:pt idx="61">
                  <c:v>56.548428574961001</c:v>
                </c:pt>
                <c:pt idx="62">
                  <c:v>56.7852344567806</c:v>
                </c:pt>
                <c:pt idx="63">
                  <c:v>57.040256175663302</c:v>
                </c:pt>
                <c:pt idx="64">
                  <c:v>57.401770480453003</c:v>
                </c:pt>
                <c:pt idx="65">
                  <c:v>57.765577687810001</c:v>
                </c:pt>
                <c:pt idx="66">
                  <c:v>58.083526843819598</c:v>
                </c:pt>
                <c:pt idx="67">
                  <c:v>58.361732355327902</c:v>
                </c:pt>
                <c:pt idx="68">
                  <c:v>58.625034000148297</c:v>
                </c:pt>
                <c:pt idx="69">
                  <c:v>58.700174328033398</c:v>
                </c:pt>
                <c:pt idx="70">
                  <c:v>59.028584852006603</c:v>
                </c:pt>
                <c:pt idx="71">
                  <c:v>59.270868223292702</c:v>
                </c:pt>
                <c:pt idx="72">
                  <c:v>59.439305573797697</c:v>
                </c:pt>
                <c:pt idx="73">
                  <c:v>59.896594054874001</c:v>
                </c:pt>
                <c:pt idx="74">
                  <c:v>60.292374514698402</c:v>
                </c:pt>
                <c:pt idx="75">
                  <c:v>60.582408491832098</c:v>
                </c:pt>
                <c:pt idx="76">
                  <c:v>60.7016394253356</c:v>
                </c:pt>
                <c:pt idx="77">
                  <c:v>60.831427264409797</c:v>
                </c:pt>
                <c:pt idx="78">
                  <c:v>61.091002942558198</c:v>
                </c:pt>
                <c:pt idx="79">
                  <c:v>61.404250283481701</c:v>
                </c:pt>
                <c:pt idx="80">
                  <c:v>61.715102360115999</c:v>
                </c:pt>
                <c:pt idx="81">
                  <c:v>61.958532182685801</c:v>
                </c:pt>
                <c:pt idx="82">
                  <c:v>62.1870581385677</c:v>
                </c:pt>
                <c:pt idx="83">
                  <c:v>62.4553277389507</c:v>
                </c:pt>
                <c:pt idx="84">
                  <c:v>62.668949828144697</c:v>
                </c:pt>
                <c:pt idx="85">
                  <c:v>62.799263124057198</c:v>
                </c:pt>
                <c:pt idx="86">
                  <c:v>62.935356445191701</c:v>
                </c:pt>
                <c:pt idx="87">
                  <c:v>63.211781772623397</c:v>
                </c:pt>
                <c:pt idx="88">
                  <c:v>63.430371817379999</c:v>
                </c:pt>
                <c:pt idx="89">
                  <c:v>63.682030612497201</c:v>
                </c:pt>
                <c:pt idx="90">
                  <c:v>63.886098940993698</c:v>
                </c:pt>
                <c:pt idx="91">
                  <c:v>64.064945341249</c:v>
                </c:pt>
                <c:pt idx="92">
                  <c:v>64.293471297130907</c:v>
                </c:pt>
                <c:pt idx="93">
                  <c:v>64.472317697386302</c:v>
                </c:pt>
                <c:pt idx="94">
                  <c:v>64.631292275391004</c:v>
                </c:pt>
                <c:pt idx="95">
                  <c:v>64.825042542334401</c:v>
                </c:pt>
                <c:pt idx="96">
                  <c:v>64.979049164776498</c:v>
                </c:pt>
                <c:pt idx="97">
                  <c:v>65.001978190450203</c:v>
                </c:pt>
                <c:pt idx="98">
                  <c:v>65.084369822704602</c:v>
                </c:pt>
                <c:pt idx="99">
                  <c:v>65.296234019930196</c:v>
                </c:pt>
                <c:pt idx="100">
                  <c:v>65.430750970549695</c:v>
                </c:pt>
                <c:pt idx="101">
                  <c:v>65.5340407719181</c:v>
                </c:pt>
                <c:pt idx="102">
                  <c:v>65.682369730860103</c:v>
                </c:pt>
                <c:pt idx="103">
                  <c:v>65.913024810554504</c:v>
                </c:pt>
                <c:pt idx="104">
                  <c:v>66.017351877370103</c:v>
                </c:pt>
                <c:pt idx="105">
                  <c:v>66.151486677561707</c:v>
                </c:pt>
                <c:pt idx="106">
                  <c:v>66.255813744377306</c:v>
                </c:pt>
                <c:pt idx="107">
                  <c:v>66.389948544568796</c:v>
                </c:pt>
                <c:pt idx="108">
                  <c:v>66.487444672485793</c:v>
                </c:pt>
                <c:pt idx="109">
                  <c:v>67.692317202838694</c:v>
                </c:pt>
                <c:pt idx="110">
                  <c:v>67.860463391112901</c:v>
                </c:pt>
                <c:pt idx="111">
                  <c:v>67.868870700526699</c:v>
                </c:pt>
                <c:pt idx="112">
                  <c:v>67.984662280179194</c:v>
                </c:pt>
                <c:pt idx="113">
                  <c:v>68.034341835805606</c:v>
                </c:pt>
                <c:pt idx="114">
                  <c:v>68.1337009470586</c:v>
                </c:pt>
                <c:pt idx="115">
                  <c:v>68.213188236061001</c:v>
                </c:pt>
                <c:pt idx="116">
                  <c:v>68.262867791687498</c:v>
                </c:pt>
                <c:pt idx="117">
                  <c:v>68.352290991815195</c:v>
                </c:pt>
                <c:pt idx="118">
                  <c:v>68.451650103068204</c:v>
                </c:pt>
                <c:pt idx="119">
                  <c:v>68.531137392070605</c:v>
                </c:pt>
                <c:pt idx="120">
                  <c:v>68.610624681072906</c:v>
                </c:pt>
                <c:pt idx="121">
                  <c:v>68.685144014512701</c:v>
                </c:pt>
                <c:pt idx="122">
                  <c:v>68.784503125765696</c:v>
                </c:pt>
                <c:pt idx="123">
                  <c:v>68.868958370330702</c:v>
                </c:pt>
                <c:pt idx="124">
                  <c:v>68.898766103706606</c:v>
                </c:pt>
                <c:pt idx="125">
                  <c:v>68.898766103706606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6E9-4FA0-A798-B61F08BDA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63456"/>
        <c:axId val="30660128"/>
      </c:scatterChart>
      <c:valAx>
        <c:axId val="3066345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 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0128"/>
        <c:crosses val="autoZero"/>
        <c:crossBetween val="midCat"/>
      </c:valAx>
      <c:valAx>
        <c:axId val="306601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DESIGN</a:t>
                </a:r>
                <a:r>
                  <a:rPr lang="en-US" baseline="0"/>
                  <a:t> FLOW, %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3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CurveA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15875">
                <a:solidFill>
                  <a:schemeClr val="accent1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wer"/>
            <c:dispRSqr val="0"/>
            <c:dispEq val="0"/>
          </c:trendline>
          <c:xVal>
            <c:numRef>
              <c:f>'HUNTER CURVE'!$A$1:$A$50</c:f>
              <c:numCache>
                <c:formatCode>General</c:formatCode>
                <c:ptCount val="50"/>
                <c:pt idx="0">
                  <c:v>3.32623464642593</c:v>
                </c:pt>
                <c:pt idx="1">
                  <c:v>6.5207602161054501</c:v>
                </c:pt>
                <c:pt idx="2">
                  <c:v>9.7153970653792801</c:v>
                </c:pt>
                <c:pt idx="3">
                  <c:v>12.9097668436267</c:v>
                </c:pt>
                <c:pt idx="4">
                  <c:v>16.349975501616498</c:v>
                </c:pt>
                <c:pt idx="5">
                  <c:v>19.788982339987701</c:v>
                </c:pt>
                <c:pt idx="6">
                  <c:v>22.982517521277899</c:v>
                </c:pt>
                <c:pt idx="7">
                  <c:v>27.895205591031601</c:v>
                </c:pt>
                <c:pt idx="8">
                  <c:v>31.826173951852699</c:v>
                </c:pt>
                <c:pt idx="9">
                  <c:v>35.755681767998603</c:v>
                </c:pt>
                <c:pt idx="10">
                  <c:v>40.174179941426402</c:v>
                </c:pt>
                <c:pt idx="11">
                  <c:v>45.083432810103901</c:v>
                </c:pt>
                <c:pt idx="12">
                  <c:v>49.256353054438101</c:v>
                </c:pt>
                <c:pt idx="13">
                  <c:v>54.165600730067901</c:v>
                </c:pt>
                <c:pt idx="14">
                  <c:v>58.583949603373298</c:v>
                </c:pt>
                <c:pt idx="15">
                  <c:v>63.491780993257301</c:v>
                </c:pt>
                <c:pt idx="16">
                  <c:v>68.887872173026196</c:v>
                </c:pt>
                <c:pt idx="17">
                  <c:v>73.915975138555893</c:v>
                </c:pt>
                <c:pt idx="18">
                  <c:v>79.680012043991397</c:v>
                </c:pt>
                <c:pt idx="19">
                  <c:v>85.076145712332604</c:v>
                </c:pt>
                <c:pt idx="20">
                  <c:v>90.472151914956598</c:v>
                </c:pt>
                <c:pt idx="21">
                  <c:v>95.867818209001697</c:v>
                </c:pt>
                <c:pt idx="22">
                  <c:v>101.63121247478</c:v>
                </c:pt>
                <c:pt idx="23">
                  <c:v>106.511932142681</c:v>
                </c:pt>
                <c:pt idx="24">
                  <c:v>112.054774602564</c:v>
                </c:pt>
                <c:pt idx="25">
                  <c:v>117.450313430892</c:v>
                </c:pt>
                <c:pt idx="26">
                  <c:v>122.84585225922</c:v>
                </c:pt>
                <c:pt idx="27">
                  <c:v>129.710603431587</c:v>
                </c:pt>
                <c:pt idx="28">
                  <c:v>135.10384787700599</c:v>
                </c:pt>
                <c:pt idx="29">
                  <c:v>140.49726227671599</c:v>
                </c:pt>
                <c:pt idx="30">
                  <c:v>145.155151689028</c:v>
                </c:pt>
                <c:pt idx="31">
                  <c:v>151.55632952217701</c:v>
                </c:pt>
                <c:pt idx="32">
                  <c:v>156.67729303298199</c:v>
                </c:pt>
                <c:pt idx="33">
                  <c:v>162.070282546968</c:v>
                </c:pt>
                <c:pt idx="34">
                  <c:v>167.463187083809</c:v>
                </c:pt>
                <c:pt idx="35">
                  <c:v>172.48842738177501</c:v>
                </c:pt>
                <c:pt idx="36">
                  <c:v>178.24895366891801</c:v>
                </c:pt>
                <c:pt idx="37">
                  <c:v>183.64198567147599</c:v>
                </c:pt>
                <c:pt idx="38">
                  <c:v>189.03480523117301</c:v>
                </c:pt>
                <c:pt idx="39">
                  <c:v>194.42775225658599</c:v>
                </c:pt>
                <c:pt idx="40">
                  <c:v>199.89019844680701</c:v>
                </c:pt>
                <c:pt idx="41">
                  <c:v>206.19385767202601</c:v>
                </c:pt>
                <c:pt idx="42">
                  <c:v>211.58620985742601</c:v>
                </c:pt>
                <c:pt idx="43">
                  <c:v>216.97890195140499</c:v>
                </c:pt>
                <c:pt idx="44">
                  <c:v>222.12640524079899</c:v>
                </c:pt>
                <c:pt idx="45">
                  <c:v>228.74466745826601</c:v>
                </c:pt>
                <c:pt idx="46">
                  <c:v>234.13731706367301</c:v>
                </c:pt>
                <c:pt idx="47">
                  <c:v>239.52996666908001</c:v>
                </c:pt>
                <c:pt idx="48">
                  <c:v>244.92261627448599</c:v>
                </c:pt>
                <c:pt idx="49">
                  <c:v>249.57983118071201</c:v>
                </c:pt>
              </c:numCache>
            </c:numRef>
          </c:xVal>
          <c:yVal>
            <c:numRef>
              <c:f>'HUNTER CURVE'!$B$1:$B$50</c:f>
              <c:numCache>
                <c:formatCode>General</c:formatCode>
                <c:ptCount val="50"/>
                <c:pt idx="0">
                  <c:v>22.397224953036801</c:v>
                </c:pt>
                <c:pt idx="1">
                  <c:v>24.611337640874002</c:v>
                </c:pt>
                <c:pt idx="2">
                  <c:v>26.848305134116401</c:v>
                </c:pt>
                <c:pt idx="3">
                  <c:v>29.030421094386199</c:v>
                </c:pt>
                <c:pt idx="4">
                  <c:v>31.404653383491599</c:v>
                </c:pt>
                <c:pt idx="5">
                  <c:v>33.5320537742205</c:v>
                </c:pt>
                <c:pt idx="6">
                  <c:v>35.5427586939511</c:v>
                </c:pt>
                <c:pt idx="7">
                  <c:v>38.5451711720196</c:v>
                </c:pt>
                <c:pt idx="8">
                  <c:v>41.115083974202904</c:v>
                </c:pt>
                <c:pt idx="9">
                  <c:v>43.385027455442497</c:v>
                </c:pt>
                <c:pt idx="10">
                  <c:v>45.487260043816903</c:v>
                </c:pt>
                <c:pt idx="11">
                  <c:v>47.7841446790259</c:v>
                </c:pt>
                <c:pt idx="12">
                  <c:v>49.747855457239901</c:v>
                </c:pt>
                <c:pt idx="13">
                  <c:v>52.043673534863402</c:v>
                </c:pt>
                <c:pt idx="14">
                  <c:v>54.1152425926524</c:v>
                </c:pt>
                <c:pt idx="15">
                  <c:v>56.120181328754697</c:v>
                </c:pt>
                <c:pt idx="16">
                  <c:v>57.807363911656999</c:v>
                </c:pt>
                <c:pt idx="17">
                  <c:v>59.364537643258203</c:v>
                </c:pt>
                <c:pt idx="18">
                  <c:v>61.173002697216099</c:v>
                </c:pt>
                <c:pt idx="19">
                  <c:v>62.868911660364098</c:v>
                </c:pt>
                <c:pt idx="20">
                  <c:v>64.538641482775205</c:v>
                </c:pt>
                <c:pt idx="21">
                  <c:v>66.138560263221194</c:v>
                </c:pt>
                <c:pt idx="22">
                  <c:v>67.815038815963902</c:v>
                </c:pt>
                <c:pt idx="23">
                  <c:v>69.281594774457702</c:v>
                </c:pt>
                <c:pt idx="24">
                  <c:v>70.929590224313699</c:v>
                </c:pt>
                <c:pt idx="25">
                  <c:v>72.503329864022803</c:v>
                </c:pt>
                <c:pt idx="26">
                  <c:v>74.077069503731906</c:v>
                </c:pt>
                <c:pt idx="27">
                  <c:v>75.607993022802404</c:v>
                </c:pt>
                <c:pt idx="28">
                  <c:v>76.710508129247302</c:v>
                </c:pt>
                <c:pt idx="29">
                  <c:v>77.847928756674705</c:v>
                </c:pt>
                <c:pt idx="30">
                  <c:v>78.818049471609598</c:v>
                </c:pt>
                <c:pt idx="31">
                  <c:v>80.148130624940904</c:v>
                </c:pt>
                <c:pt idx="32">
                  <c:v>81.216558737728704</c:v>
                </c:pt>
                <c:pt idx="33">
                  <c:v>82.266715562699801</c:v>
                </c:pt>
                <c:pt idx="34">
                  <c:v>83.299419627179603</c:v>
                </c:pt>
                <c:pt idx="35">
                  <c:v>84.268653489731193</c:v>
                </c:pt>
                <c:pt idx="36">
                  <c:v>85.356101375893601</c:v>
                </c:pt>
                <c:pt idx="37">
                  <c:v>86.414984581110303</c:v>
                </c:pt>
                <c:pt idx="38">
                  <c:v>87.430235885098796</c:v>
                </c:pt>
                <c:pt idx="39">
                  <c:v>88.471666329824203</c:v>
                </c:pt>
                <c:pt idx="40">
                  <c:v>89.415898812793102</c:v>
                </c:pt>
                <c:pt idx="41">
                  <c:v>90.677240396440297</c:v>
                </c:pt>
                <c:pt idx="42">
                  <c:v>91.596501517726907</c:v>
                </c:pt>
                <c:pt idx="43">
                  <c:v>92.585573680978499</c:v>
                </c:pt>
                <c:pt idx="44">
                  <c:v>93.516043133152806</c:v>
                </c:pt>
                <c:pt idx="45">
                  <c:v>94.721336705629497</c:v>
                </c:pt>
                <c:pt idx="46">
                  <c:v>95.701682488635498</c:v>
                </c:pt>
                <c:pt idx="47">
                  <c:v>96.682028271641499</c:v>
                </c:pt>
                <c:pt idx="48">
                  <c:v>97.662374054647501</c:v>
                </c:pt>
                <c:pt idx="49">
                  <c:v>98.493963483182995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51-426F-A09B-72E0E86B42F2}"/>
            </c:ext>
          </c:extLst>
        </c:ser>
        <c:ser>
          <c:idx val="1"/>
          <c:order val="1"/>
          <c:tx>
            <c:v>CurveB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noFill/>
              <a:ln w="1587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dash"/>
              </a:ln>
              <a:effectLst/>
            </c:spPr>
            <c:trendlineType val="power"/>
            <c:dispRSqr val="0"/>
            <c:dispEq val="0"/>
          </c:trendline>
          <c:xVal>
            <c:numRef>
              <c:f>'HUNTER CURVE'!$C$1:$C$74</c:f>
              <c:numCache>
                <c:formatCode>General</c:formatCode>
                <c:ptCount val="74"/>
                <c:pt idx="0">
                  <c:v>4.4956334609527202</c:v>
                </c:pt>
                <c:pt idx="1">
                  <c:v>9.8920220607281308</c:v>
                </c:pt>
                <c:pt idx="2">
                  <c:v>15.2884106605035</c:v>
                </c:pt>
                <c:pt idx="3">
                  <c:v>20.684799260278901</c:v>
                </c:pt>
                <c:pt idx="4">
                  <c:v>26.449091097148699</c:v>
                </c:pt>
                <c:pt idx="5">
                  <c:v>31.477533971257401</c:v>
                </c:pt>
                <c:pt idx="6">
                  <c:v>36.873837593887998</c:v>
                </c:pt>
                <c:pt idx="7">
                  <c:v>42.268484162196202</c:v>
                </c:pt>
                <c:pt idx="8">
                  <c:v>47.4173130950483</c:v>
                </c:pt>
                <c:pt idx="9">
                  <c:v>54.037138891978501</c:v>
                </c:pt>
                <c:pt idx="10">
                  <c:v>59.431233108845802</c:v>
                </c:pt>
                <c:pt idx="11">
                  <c:v>64.8251573714237</c:v>
                </c:pt>
                <c:pt idx="12">
                  <c:v>70.219124122573902</c:v>
                </c:pt>
                <c:pt idx="13">
                  <c:v>75.796221931717398</c:v>
                </c:pt>
                <c:pt idx="14">
                  <c:v>81.004720753393897</c:v>
                </c:pt>
                <c:pt idx="15">
                  <c:v>86.397072938793997</c:v>
                </c:pt>
                <c:pt idx="16">
                  <c:v>91.789510101338905</c:v>
                </c:pt>
                <c:pt idx="17">
                  <c:v>96.936694726440194</c:v>
                </c:pt>
                <c:pt idx="18">
                  <c:v>103.554638279614</c:v>
                </c:pt>
                <c:pt idx="19">
                  <c:v>108.946947976442</c:v>
                </c:pt>
                <c:pt idx="20">
                  <c:v>114.339385138987</c:v>
                </c:pt>
                <c:pt idx="21">
                  <c:v>119.731142484373</c:v>
                </c:pt>
                <c:pt idx="22">
                  <c:v>124.754438930154</c:v>
                </c:pt>
                <c:pt idx="23">
                  <c:v>130.512830166535</c:v>
                </c:pt>
                <c:pt idx="24">
                  <c:v>135.48334973563399</c:v>
                </c:pt>
                <c:pt idx="25">
                  <c:v>141.29481526870401</c:v>
                </c:pt>
                <c:pt idx="26">
                  <c:v>146.31786209412101</c:v>
                </c:pt>
                <c:pt idx="27">
                  <c:v>152.07637548514799</c:v>
                </c:pt>
                <c:pt idx="28">
                  <c:v>157.467198081943</c:v>
                </c:pt>
                <c:pt idx="29">
                  <c:v>162.85806316731001</c:v>
                </c:pt>
                <c:pt idx="30">
                  <c:v>168.24880078696</c:v>
                </c:pt>
                <c:pt idx="31">
                  <c:v>173.639044476956</c:v>
                </c:pt>
                <c:pt idx="32">
                  <c:v>179.02917132337799</c:v>
                </c:pt>
                <c:pt idx="33">
                  <c:v>184.41935659158801</c:v>
                </c:pt>
                <c:pt idx="34">
                  <c:v>189.80941439407999</c:v>
                </c:pt>
                <c:pt idx="35">
                  <c:v>195.199642150861</c:v>
                </c:pt>
                <c:pt idx="36">
                  <c:v>202.05980455741101</c:v>
                </c:pt>
                <c:pt idx="37">
                  <c:v>207.449904848476</c:v>
                </c:pt>
                <c:pt idx="38">
                  <c:v>212.840132605257</c:v>
                </c:pt>
                <c:pt idx="39">
                  <c:v>218.23036036203899</c:v>
                </c:pt>
                <c:pt idx="40">
                  <c:v>223.06942635801599</c:v>
                </c:pt>
                <c:pt idx="41">
                  <c:v>229.010858364174</c:v>
                </c:pt>
                <c:pt idx="42">
                  <c:v>234.40125607524499</c:v>
                </c:pt>
                <c:pt idx="43">
                  <c:v>239.79152632059899</c:v>
                </c:pt>
                <c:pt idx="44">
                  <c:v>245.18137168022901</c:v>
                </c:pt>
                <c:pt idx="45">
                  <c:v>251.12356848069101</c:v>
                </c:pt>
                <c:pt idx="46">
                  <c:v>255.962337056661</c:v>
                </c:pt>
                <c:pt idx="47">
                  <c:v>261.35264979058701</c:v>
                </c:pt>
                <c:pt idx="48">
                  <c:v>266.74287754736901</c:v>
                </c:pt>
                <c:pt idx="49">
                  <c:v>271.88812044471302</c:v>
                </c:pt>
                <c:pt idx="50">
                  <c:v>278.50307705124902</c:v>
                </c:pt>
                <c:pt idx="51">
                  <c:v>283.89296489945201</c:v>
                </c:pt>
                <c:pt idx="52">
                  <c:v>289.28285274765398</c:v>
                </c:pt>
                <c:pt idx="53">
                  <c:v>294.672783084429</c:v>
                </c:pt>
                <c:pt idx="54">
                  <c:v>299.87900345641202</c:v>
                </c:pt>
                <c:pt idx="55">
                  <c:v>305.45264375797899</c:v>
                </c:pt>
                <c:pt idx="56">
                  <c:v>310.84248911760898</c:v>
                </c:pt>
                <c:pt idx="57">
                  <c:v>316.23288682868002</c:v>
                </c:pt>
                <c:pt idx="58">
                  <c:v>321.62319956260598</c:v>
                </c:pt>
                <c:pt idx="59">
                  <c:v>327.99359619542901</c:v>
                </c:pt>
                <c:pt idx="60">
                  <c:v>333.38390892935502</c:v>
                </c:pt>
                <c:pt idx="61">
                  <c:v>338.774306640426</c:v>
                </c:pt>
                <c:pt idx="62">
                  <c:v>344.16461937435201</c:v>
                </c:pt>
                <c:pt idx="63">
                  <c:v>349.55481526470498</c:v>
                </c:pt>
                <c:pt idx="64">
                  <c:v>354.52499037287703</c:v>
                </c:pt>
                <c:pt idx="65">
                  <c:v>360.335982461855</c:v>
                </c:pt>
                <c:pt idx="66">
                  <c:v>365.72608275291901</c:v>
                </c:pt>
                <c:pt idx="67">
                  <c:v>371.11656544113498</c:v>
                </c:pt>
                <c:pt idx="68">
                  <c:v>376.32321069884199</c:v>
                </c:pt>
                <c:pt idx="69">
                  <c:v>381.89744584042199</c:v>
                </c:pt>
                <c:pt idx="70">
                  <c:v>387.28792852863802</c:v>
                </c:pt>
                <c:pt idx="71">
                  <c:v>392.67841121685302</c:v>
                </c:pt>
                <c:pt idx="72">
                  <c:v>398.06885141649701</c:v>
                </c:pt>
                <c:pt idx="73">
                  <c:v>401.00910311318597</c:v>
                </c:pt>
              </c:numCache>
            </c:numRef>
          </c:xVal>
          <c:yVal>
            <c:numRef>
              <c:f>'HUNTER CURVE'!$D$1:$D$74</c:f>
              <c:numCache>
                <c:formatCode>General</c:formatCode>
                <c:ptCount val="74"/>
                <c:pt idx="0">
                  <c:v>11.076880798192001</c:v>
                </c:pt>
                <c:pt idx="1">
                  <c:v>12.825148042813799</c:v>
                </c:pt>
                <c:pt idx="2">
                  <c:v>14.5734152874356</c:v>
                </c:pt>
                <c:pt idx="3">
                  <c:v>16.321682532057402</c:v>
                </c:pt>
                <c:pt idx="4">
                  <c:v>18.182505867489098</c:v>
                </c:pt>
                <c:pt idx="5">
                  <c:v>19.809490641055401</c:v>
                </c:pt>
                <c:pt idx="6">
                  <c:v>21.540305125185899</c:v>
                </c:pt>
                <c:pt idx="7">
                  <c:v>22.9307907797367</c:v>
                </c:pt>
                <c:pt idx="8">
                  <c:v>24.1335232955748</c:v>
                </c:pt>
                <c:pt idx="9">
                  <c:v>25.6599476610909</c:v>
                </c:pt>
                <c:pt idx="10">
                  <c:v>26.936990372448399</c:v>
                </c:pt>
                <c:pt idx="11">
                  <c:v>28.179127562823499</c:v>
                </c:pt>
                <c:pt idx="12">
                  <c:v>29.429991133444101</c:v>
                </c:pt>
                <c:pt idx="13">
                  <c:v>30.5686045309759</c:v>
                </c:pt>
                <c:pt idx="14">
                  <c:v>31.451767361175499</c:v>
                </c:pt>
                <c:pt idx="15">
                  <c:v>32.371028482462101</c:v>
                </c:pt>
                <c:pt idx="16">
                  <c:v>33.3077423642399</c:v>
                </c:pt>
                <c:pt idx="17">
                  <c:v>34.172763964571999</c:v>
                </c:pt>
                <c:pt idx="18">
                  <c:v>35.312609685206397</c:v>
                </c:pt>
                <c:pt idx="19">
                  <c:v>36.223144426247401</c:v>
                </c:pt>
                <c:pt idx="20">
                  <c:v>37.1598583080252</c:v>
                </c:pt>
                <c:pt idx="21">
                  <c:v>37.956950105872899</c:v>
                </c:pt>
                <c:pt idx="22">
                  <c:v>38.526952072186702</c:v>
                </c:pt>
                <c:pt idx="23">
                  <c:v>39.175899351005903</c:v>
                </c:pt>
                <c:pt idx="24">
                  <c:v>39.684787520579199</c:v>
                </c:pt>
                <c:pt idx="25">
                  <c:v>40.455933257858398</c:v>
                </c:pt>
                <c:pt idx="26">
                  <c:v>40.974667740229101</c:v>
                </c:pt>
                <c:pt idx="27">
                  <c:v>41.648703362254601</c:v>
                </c:pt>
                <c:pt idx="28">
                  <c:v>42.2538147946984</c:v>
                </c:pt>
                <c:pt idx="29">
                  <c:v>42.867652607387697</c:v>
                </c:pt>
                <c:pt idx="30">
                  <c:v>43.455311279340201</c:v>
                </c:pt>
                <c:pt idx="31">
                  <c:v>43.941525780937098</c:v>
                </c:pt>
                <c:pt idx="32">
                  <c:v>44.403742736858597</c:v>
                </c:pt>
                <c:pt idx="33">
                  <c:v>44.877958465617802</c:v>
                </c:pt>
                <c:pt idx="34">
                  <c:v>45.325995053640099</c:v>
                </c:pt>
                <c:pt idx="35">
                  <c:v>45.808937162644902</c:v>
                </c:pt>
                <c:pt idx="36">
                  <c:v>46.397411615186897</c:v>
                </c:pt>
                <c:pt idx="37">
                  <c:v>46.854174583454899</c:v>
                </c:pt>
                <c:pt idx="38">
                  <c:v>47.337116692459702</c:v>
                </c:pt>
                <c:pt idx="39">
                  <c:v>47.820058801464597</c:v>
                </c:pt>
                <c:pt idx="40">
                  <c:v>48.2765158520114</c:v>
                </c:pt>
                <c:pt idx="41">
                  <c:v>48.794669399719901</c:v>
                </c:pt>
                <c:pt idx="42">
                  <c:v>49.312517029707301</c:v>
                </c:pt>
                <c:pt idx="43">
                  <c:v>49.804185518957702</c:v>
                </c:pt>
                <c:pt idx="44">
                  <c:v>50.208590205751896</c:v>
                </c:pt>
                <c:pt idx="45">
                  <c:v>50.883818597881799</c:v>
                </c:pt>
                <c:pt idx="46">
                  <c:v>51.279190986709203</c:v>
                </c:pt>
                <c:pt idx="47">
                  <c:v>51.779585856205301</c:v>
                </c:pt>
                <c:pt idx="48">
                  <c:v>52.262527965210097</c:v>
                </c:pt>
                <c:pt idx="49">
                  <c:v>52.728753988316697</c:v>
                </c:pt>
                <c:pt idx="50">
                  <c:v>53.255135177683101</c:v>
                </c:pt>
                <c:pt idx="51">
                  <c:v>53.668266244722801</c:v>
                </c:pt>
                <c:pt idx="52">
                  <c:v>54.081397311762601</c:v>
                </c:pt>
                <c:pt idx="53">
                  <c:v>54.503254759047998</c:v>
                </c:pt>
                <c:pt idx="54">
                  <c:v>54.918465448575503</c:v>
                </c:pt>
                <c:pt idx="55">
                  <c:v>55.3469696536188</c:v>
                </c:pt>
                <c:pt idx="56">
                  <c:v>55.751374340413001</c:v>
                </c:pt>
                <c:pt idx="57">
                  <c:v>56.269221970400302</c:v>
                </c:pt>
                <c:pt idx="58">
                  <c:v>56.7696168398965</c:v>
                </c:pt>
                <c:pt idx="59">
                  <c:v>57.3665457458209</c:v>
                </c:pt>
                <c:pt idx="60">
                  <c:v>57.866940615316999</c:v>
                </c:pt>
                <c:pt idx="61">
                  <c:v>58.384788245304399</c:v>
                </c:pt>
                <c:pt idx="62">
                  <c:v>58.885183114800498</c:v>
                </c:pt>
                <c:pt idx="63">
                  <c:v>59.361580438621097</c:v>
                </c:pt>
                <c:pt idx="64">
                  <c:v>59.799722596917299</c:v>
                </c:pt>
                <c:pt idx="65">
                  <c:v>60.473631525745198</c:v>
                </c:pt>
                <c:pt idx="66">
                  <c:v>60.9303944940131</c:v>
                </c:pt>
                <c:pt idx="67">
                  <c:v>61.465694884491803</c:v>
                </c:pt>
                <c:pt idx="68">
                  <c:v>61.968169376475601</c:v>
                </c:pt>
                <c:pt idx="69">
                  <c:v>62.5188429049578</c:v>
                </c:pt>
                <c:pt idx="70">
                  <c:v>63.054143295436397</c:v>
                </c:pt>
                <c:pt idx="71">
                  <c:v>63.5894436859151</c:v>
                </c:pt>
                <c:pt idx="72">
                  <c:v>64.116017696148106</c:v>
                </c:pt>
                <c:pt idx="73">
                  <c:v>64.405619805433105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51-426F-A09B-72E0E86B42F2}"/>
            </c:ext>
          </c:extLst>
        </c:ser>
        <c:ser>
          <c:idx val="2"/>
          <c:order val="2"/>
          <c:tx>
            <c:v>CurveC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7"/>
            <c:spPr>
              <a:noFill/>
              <a:ln w="1587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rgbClr val="FF0000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xVal>
            <c:numRef>
              <c:f>'HUNTER CURVE'!$E$1:$E$73</c:f>
              <c:numCache>
                <c:formatCode>General</c:formatCode>
                <c:ptCount val="73"/>
                <c:pt idx="0">
                  <c:v>4.4824620035175098</c:v>
                </c:pt>
                <c:pt idx="1">
                  <c:v>9.6038504000463103</c:v>
                </c:pt>
                <c:pt idx="2">
                  <c:v>15.2701830629561</c:v>
                </c:pt>
                <c:pt idx="3">
                  <c:v>20.6638948826721</c:v>
                </c:pt>
                <c:pt idx="4">
                  <c:v>26.425430273409201</c:v>
                </c:pt>
                <c:pt idx="5">
                  <c:v>31.451403499248801</c:v>
                </c:pt>
                <c:pt idx="6">
                  <c:v>36.845242784681901</c:v>
                </c:pt>
                <c:pt idx="7">
                  <c:v>42.238742161536003</c:v>
                </c:pt>
                <c:pt idx="8">
                  <c:v>47.386466391506502</c:v>
                </c:pt>
                <c:pt idx="9">
                  <c:v>54.004847576976097</c:v>
                </c:pt>
                <c:pt idx="10">
                  <c:v>59.397752113816999</c:v>
                </c:pt>
                <c:pt idx="11">
                  <c:v>64.790401719223695</c:v>
                </c:pt>
                <c:pt idx="12">
                  <c:v>70.183306256064597</c:v>
                </c:pt>
                <c:pt idx="13">
                  <c:v>75.759825158409598</c:v>
                </c:pt>
                <c:pt idx="14">
                  <c:v>80.967840672575406</c:v>
                </c:pt>
                <c:pt idx="15">
                  <c:v>86.359343086528</c:v>
                </c:pt>
                <c:pt idx="16">
                  <c:v>91.750930477625403</c:v>
                </c:pt>
                <c:pt idx="17">
                  <c:v>96.897388548139205</c:v>
                </c:pt>
                <c:pt idx="18">
                  <c:v>103.51431662443299</c:v>
                </c:pt>
                <c:pt idx="19">
                  <c:v>108.90586152695801</c:v>
                </c:pt>
                <c:pt idx="20">
                  <c:v>114.29732145233901</c:v>
                </c:pt>
                <c:pt idx="21">
                  <c:v>119.68780414055399</c:v>
                </c:pt>
                <c:pt idx="22">
                  <c:v>124.71056416810799</c:v>
                </c:pt>
                <c:pt idx="23">
                  <c:v>130.46804721125599</c:v>
                </c:pt>
                <c:pt idx="24">
                  <c:v>136.51201830540401</c:v>
                </c:pt>
                <c:pt idx="25">
                  <c:v>141.248842633398</c:v>
                </c:pt>
                <c:pt idx="26">
                  <c:v>146.27147519523399</c:v>
                </c:pt>
                <c:pt idx="27">
                  <c:v>152.02917068124299</c:v>
                </c:pt>
                <c:pt idx="28">
                  <c:v>157.41931346088001</c:v>
                </c:pt>
                <c:pt idx="29">
                  <c:v>162.80907384336601</c:v>
                </c:pt>
                <c:pt idx="30">
                  <c:v>168.19874924870601</c:v>
                </c:pt>
                <c:pt idx="31">
                  <c:v>173.58845120940501</c:v>
                </c:pt>
                <c:pt idx="32">
                  <c:v>178.97814254796</c:v>
                </c:pt>
                <c:pt idx="33">
                  <c:v>184.367817953301</c:v>
                </c:pt>
                <c:pt idx="34">
                  <c:v>189.757493358641</c:v>
                </c:pt>
                <c:pt idx="35">
                  <c:v>195.147211252555</c:v>
                </c:pt>
                <c:pt idx="36">
                  <c:v>202.00677881909201</c:v>
                </c:pt>
                <c:pt idx="37">
                  <c:v>207.39645422443201</c:v>
                </c:pt>
                <c:pt idx="38">
                  <c:v>212.786129629773</c:v>
                </c:pt>
                <c:pt idx="39">
                  <c:v>218.17589001225801</c:v>
                </c:pt>
                <c:pt idx="40">
                  <c:v>223.01427619107699</c:v>
                </c:pt>
                <c:pt idx="41">
                  <c:v>228.95524082294</c:v>
                </c:pt>
                <c:pt idx="42">
                  <c:v>234.34491622828099</c:v>
                </c:pt>
                <c:pt idx="43">
                  <c:v>239.73459163362099</c:v>
                </c:pt>
                <c:pt idx="44">
                  <c:v>245.124352016107</c:v>
                </c:pt>
                <c:pt idx="45">
                  <c:v>250.78622809986999</c:v>
                </c:pt>
                <c:pt idx="46">
                  <c:v>255.90370282678799</c:v>
                </c:pt>
                <c:pt idx="47">
                  <c:v>261.292953346405</c:v>
                </c:pt>
                <c:pt idx="48">
                  <c:v>271.58309073480001</c:v>
                </c:pt>
                <c:pt idx="49">
                  <c:v>278.442190927041</c:v>
                </c:pt>
                <c:pt idx="50">
                  <c:v>283.83186633238103</c:v>
                </c:pt>
                <c:pt idx="51">
                  <c:v>289.22149924914999</c:v>
                </c:pt>
                <c:pt idx="52">
                  <c:v>294.61121714306302</c:v>
                </c:pt>
                <c:pt idx="53">
                  <c:v>299.81713478396802</c:v>
                </c:pt>
                <c:pt idx="54">
                  <c:v>305.39039799945499</c:v>
                </c:pt>
                <c:pt idx="55">
                  <c:v>310.77998842764998</c:v>
                </c:pt>
                <c:pt idx="56">
                  <c:v>316.16923894726699</c:v>
                </c:pt>
                <c:pt idx="57">
                  <c:v>321.55827702402303</c:v>
                </c:pt>
                <c:pt idx="58">
                  <c:v>327.92710157966701</c:v>
                </c:pt>
                <c:pt idx="59">
                  <c:v>333.31626712214</c:v>
                </c:pt>
                <c:pt idx="60">
                  <c:v>338.70526271032202</c:v>
                </c:pt>
                <c:pt idx="61">
                  <c:v>344.094258298505</c:v>
                </c:pt>
                <c:pt idx="62">
                  <c:v>349.48324857561602</c:v>
                </c:pt>
                <c:pt idx="63">
                  <c:v>354.87246191773198</c:v>
                </c:pt>
                <c:pt idx="64">
                  <c:v>360.26145750591502</c:v>
                </c:pt>
                <c:pt idx="65">
                  <c:v>365.65049558266998</c:v>
                </c:pt>
                <c:pt idx="66">
                  <c:v>371.03953365942499</c:v>
                </c:pt>
                <c:pt idx="67">
                  <c:v>376.24498392603402</c:v>
                </c:pt>
                <c:pt idx="68">
                  <c:v>381.81765230150802</c:v>
                </c:pt>
                <c:pt idx="69">
                  <c:v>387.206647889691</c:v>
                </c:pt>
                <c:pt idx="70">
                  <c:v>392.59564347787398</c:v>
                </c:pt>
                <c:pt idx="71">
                  <c:v>397.98472404320103</c:v>
                </c:pt>
                <c:pt idx="72">
                  <c:v>400.92450836559402</c:v>
                </c:pt>
              </c:numCache>
            </c:numRef>
          </c:xVal>
          <c:yVal>
            <c:numRef>
              <c:f>'HUNTER CURVE'!$F$1:$F$73</c:f>
              <c:numCache>
                <c:formatCode>General</c:formatCode>
                <c:ptCount val="73"/>
                <c:pt idx="0">
                  <c:v>8.3717029220454506</c:v>
                </c:pt>
                <c:pt idx="1">
                  <c:v>9.5273948372896609</c:v>
                </c:pt>
                <c:pt idx="2">
                  <c:v>10.8297981620585</c:v>
                </c:pt>
                <c:pt idx="3">
                  <c:v>12.028303451205399</c:v>
                </c:pt>
                <c:pt idx="4">
                  <c:v>13.3230028682016</c:v>
                </c:pt>
                <c:pt idx="5">
                  <c:v>14.442766789990401</c:v>
                </c:pt>
                <c:pt idx="6">
                  <c:v>15.667451219874099</c:v>
                </c:pt>
                <c:pt idx="7">
                  <c:v>16.822324607792801</c:v>
                </c:pt>
                <c:pt idx="8">
                  <c:v>17.7981712372444</c:v>
                </c:pt>
                <c:pt idx="9">
                  <c:v>19.027898674408899</c:v>
                </c:pt>
                <c:pt idx="10">
                  <c:v>20.060602738888701</c:v>
                </c:pt>
                <c:pt idx="11">
                  <c:v>21.040948521894698</c:v>
                </c:pt>
                <c:pt idx="12">
                  <c:v>22.0736525863745</c:v>
                </c:pt>
                <c:pt idx="13">
                  <c:v>23.093369053059501</c:v>
                </c:pt>
                <c:pt idx="14">
                  <c:v>23.877269307965001</c:v>
                </c:pt>
                <c:pt idx="15">
                  <c:v>24.6220028243389</c:v>
                </c:pt>
                <c:pt idx="16">
                  <c:v>25.3841891012041</c:v>
                </c:pt>
                <c:pt idx="17">
                  <c:v>26.0999895993358</c:v>
                </c:pt>
                <c:pt idx="18">
                  <c:v>27.031274832099601</c:v>
                </c:pt>
                <c:pt idx="19">
                  <c:v>27.784734728719101</c:v>
                </c:pt>
                <c:pt idx="20">
                  <c:v>28.520741864847299</c:v>
                </c:pt>
                <c:pt idx="21">
                  <c:v>29.056042255325998</c:v>
                </c:pt>
                <c:pt idx="22">
                  <c:v>29.515873671038602</c:v>
                </c:pt>
                <c:pt idx="23">
                  <c:v>29.978294572107501</c:v>
                </c:pt>
                <c:pt idx="24">
                  <c:v>30.598312540778199</c:v>
                </c:pt>
                <c:pt idx="25">
                  <c:v>31.013989832082199</c:v>
                </c:pt>
                <c:pt idx="26">
                  <c:v>31.447642107058002</c:v>
                </c:pt>
                <c:pt idx="27">
                  <c:v>31.953694909355001</c:v>
                </c:pt>
                <c:pt idx="28">
                  <c:v>32.419184257868601</c:v>
                </c:pt>
                <c:pt idx="29">
                  <c:v>32.8061361841715</c:v>
                </c:pt>
                <c:pt idx="30">
                  <c:v>33.175635349983096</c:v>
                </c:pt>
                <c:pt idx="31">
                  <c:v>33.550588503448203</c:v>
                </c:pt>
                <c:pt idx="32">
                  <c:v>33.923360061851902</c:v>
                </c:pt>
                <c:pt idx="33">
                  <c:v>34.292859227663499</c:v>
                </c:pt>
                <c:pt idx="34">
                  <c:v>34.662358393475103</c:v>
                </c:pt>
                <c:pt idx="35">
                  <c:v>35.040583939532297</c:v>
                </c:pt>
                <c:pt idx="36">
                  <c:v>35.506889068635402</c:v>
                </c:pt>
                <c:pt idx="37">
                  <c:v>35.876388234446999</c:v>
                </c:pt>
                <c:pt idx="38">
                  <c:v>36.245887400258603</c:v>
                </c:pt>
                <c:pt idx="39">
                  <c:v>36.632839326561502</c:v>
                </c:pt>
                <c:pt idx="40">
                  <c:v>36.949674293178198</c:v>
                </c:pt>
                <c:pt idx="41">
                  <c:v>37.371837658184702</c:v>
                </c:pt>
                <c:pt idx="42">
                  <c:v>37.741336823996299</c:v>
                </c:pt>
                <c:pt idx="43">
                  <c:v>38.110835989807903</c:v>
                </c:pt>
                <c:pt idx="44">
                  <c:v>38.497787916110802</c:v>
                </c:pt>
                <c:pt idx="45">
                  <c:v>38.884890912893198</c:v>
                </c:pt>
                <c:pt idx="46">
                  <c:v>39.236786247734003</c:v>
                </c:pt>
                <c:pt idx="47">
                  <c:v>39.519021611089201</c:v>
                </c:pt>
                <c:pt idx="48">
                  <c:v>40.379917339288099</c:v>
                </c:pt>
                <c:pt idx="49">
                  <c:v>40.750232285689201</c:v>
                </c:pt>
                <c:pt idx="50">
                  <c:v>41.119731451500897</c:v>
                </c:pt>
                <c:pt idx="51">
                  <c:v>41.480504237066803</c:v>
                </c:pt>
                <c:pt idx="52">
                  <c:v>41.858729783124097</c:v>
                </c:pt>
                <c:pt idx="53">
                  <c:v>42.211765013401397</c:v>
                </c:pt>
                <c:pt idx="54">
                  <c:v>42.5628225937647</c:v>
                </c:pt>
                <c:pt idx="55">
                  <c:v>42.914868999085002</c:v>
                </c:pt>
                <c:pt idx="56">
                  <c:v>43.197104362440299</c:v>
                </c:pt>
                <c:pt idx="57">
                  <c:v>43.435707824567402</c:v>
                </c:pt>
                <c:pt idx="58">
                  <c:v>43.709760661403401</c:v>
                </c:pt>
                <c:pt idx="59">
                  <c:v>43.974543264267297</c:v>
                </c:pt>
                <c:pt idx="60">
                  <c:v>44.204420346148801</c:v>
                </c:pt>
                <c:pt idx="61">
                  <c:v>44.434297428030298</c:v>
                </c:pt>
                <c:pt idx="62">
                  <c:v>44.663083712381002</c:v>
                </c:pt>
                <c:pt idx="63">
                  <c:v>44.937683493021296</c:v>
                </c:pt>
                <c:pt idx="64">
                  <c:v>45.167560574902801</c:v>
                </c:pt>
                <c:pt idx="65">
                  <c:v>45.406164037029903</c:v>
                </c:pt>
                <c:pt idx="66">
                  <c:v>45.644767499156998</c:v>
                </c:pt>
                <c:pt idx="67">
                  <c:v>45.901812546732302</c:v>
                </c:pt>
                <c:pt idx="68">
                  <c:v>46.130700803656801</c:v>
                </c:pt>
                <c:pt idx="69">
                  <c:v>46.360577885538198</c:v>
                </c:pt>
                <c:pt idx="70">
                  <c:v>46.590454967419703</c:v>
                </c:pt>
                <c:pt idx="71">
                  <c:v>46.837784809792403</c:v>
                </c:pt>
                <c:pt idx="72">
                  <c:v>47.031396736375399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951-426F-A09B-72E0E86B42F2}"/>
            </c:ext>
          </c:extLst>
        </c:ser>
        <c:ser>
          <c:idx val="3"/>
          <c:order val="3"/>
          <c:tx>
            <c:v>CurveD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noFill/>
              <a:ln w="15875">
                <a:solidFill>
                  <a:schemeClr val="accent1"/>
                </a:solidFill>
              </a:ln>
              <a:effectLst/>
            </c:spPr>
          </c:marker>
          <c:trendline>
            <c:spPr>
              <a:ln w="22225" cap="rnd">
                <a:solidFill>
                  <a:srgbClr val="FF0000"/>
                </a:solidFill>
                <a:prstDash val="lgDashDot"/>
              </a:ln>
              <a:effectLst/>
            </c:spPr>
            <c:trendlineType val="power"/>
            <c:dispRSqr val="0"/>
            <c:dispEq val="0"/>
          </c:trendline>
          <c:xVal>
            <c:numRef>
              <c:f>'HUNTER CURVE'!$G$1:$G$72</c:f>
              <c:numCache>
                <c:formatCode>General</c:formatCode>
                <c:ptCount val="72"/>
                <c:pt idx="0">
                  <c:v>4.4692055689375696</c:v>
                </c:pt>
                <c:pt idx="1">
                  <c:v>9.8613028229034398</c:v>
                </c:pt>
                <c:pt idx="2">
                  <c:v>15.2533150997245</c:v>
                </c:pt>
                <c:pt idx="3">
                  <c:v>20.6454123536904</c:v>
                </c:pt>
                <c:pt idx="4">
                  <c:v>26.405041069742399</c:v>
                </c:pt>
                <c:pt idx="5">
                  <c:v>31.134880630509102</c:v>
                </c:pt>
                <c:pt idx="6">
                  <c:v>36.820217015555002</c:v>
                </c:pt>
                <c:pt idx="7">
                  <c:v>42.211337032356397</c:v>
                </c:pt>
                <c:pt idx="8">
                  <c:v>47.3573957102899</c:v>
                </c:pt>
                <c:pt idx="9">
                  <c:v>53.973830919144802</c:v>
                </c:pt>
                <c:pt idx="10">
                  <c:v>59.364398584505302</c:v>
                </c:pt>
                <c:pt idx="11">
                  <c:v>64.754668829859199</c:v>
                </c:pt>
                <c:pt idx="12">
                  <c:v>70.145024052357797</c:v>
                </c:pt>
                <c:pt idx="13">
                  <c:v>75.719046751075894</c:v>
                </c:pt>
                <c:pt idx="14">
                  <c:v>80.925394588776101</c:v>
                </c:pt>
                <c:pt idx="15">
                  <c:v>86.3154948798405</c:v>
                </c:pt>
                <c:pt idx="16">
                  <c:v>91.7054677051878</c:v>
                </c:pt>
                <c:pt idx="17">
                  <c:v>96.850604381100894</c:v>
                </c:pt>
                <c:pt idx="18">
                  <c:v>103.465624720495</c:v>
                </c:pt>
                <c:pt idx="19">
                  <c:v>108.855979942994</c:v>
                </c:pt>
                <c:pt idx="20">
                  <c:v>114.24633516549299</c:v>
                </c:pt>
                <c:pt idx="21">
                  <c:v>119.636690387991</c:v>
                </c:pt>
                <c:pt idx="22">
                  <c:v>124.65956194804799</c:v>
                </c:pt>
                <c:pt idx="23">
                  <c:v>130.41735834441599</c:v>
                </c:pt>
                <c:pt idx="24">
                  <c:v>133.84673848624701</c:v>
                </c:pt>
                <c:pt idx="25">
                  <c:v>143.15700441860699</c:v>
                </c:pt>
                <c:pt idx="26">
                  <c:v>148.91330840387101</c:v>
                </c:pt>
                <c:pt idx="27">
                  <c:v>153.93533550355201</c:v>
                </c:pt>
                <c:pt idx="28">
                  <c:v>159.324671000313</c:v>
                </c:pt>
                <c:pt idx="29">
                  <c:v>164.71404898564799</c:v>
                </c:pt>
                <c:pt idx="30">
                  <c:v>170.103554436699</c:v>
                </c:pt>
                <c:pt idx="31">
                  <c:v>176.96290956037399</c:v>
                </c:pt>
                <c:pt idx="32">
                  <c:v>182.35241501142499</c:v>
                </c:pt>
                <c:pt idx="33">
                  <c:v>187.74183548533199</c:v>
                </c:pt>
                <c:pt idx="34">
                  <c:v>193.131340936383</c:v>
                </c:pt>
                <c:pt idx="35">
                  <c:v>198.521000408509</c:v>
                </c:pt>
                <c:pt idx="36">
                  <c:v>203.91035183848501</c:v>
                </c:pt>
                <c:pt idx="37">
                  <c:v>209.299687335247</c:v>
                </c:pt>
                <c:pt idx="38">
                  <c:v>214.68898034343599</c:v>
                </c:pt>
                <c:pt idx="39">
                  <c:v>220.07823086305299</c:v>
                </c:pt>
                <c:pt idx="40">
                  <c:v>225.65114354781801</c:v>
                </c:pt>
                <c:pt idx="41">
                  <c:v>230.85673190228701</c:v>
                </c:pt>
                <c:pt idx="42">
                  <c:v>236.24589744475901</c:v>
                </c:pt>
                <c:pt idx="43">
                  <c:v>241.635275430094</c:v>
                </c:pt>
                <c:pt idx="44">
                  <c:v>246.53452412835901</c:v>
                </c:pt>
                <c:pt idx="45">
                  <c:v>252.41373398075501</c:v>
                </c:pt>
                <c:pt idx="46">
                  <c:v>257.80277205751003</c:v>
                </c:pt>
                <c:pt idx="47">
                  <c:v>263.19168266854803</c:v>
                </c:pt>
                <c:pt idx="48">
                  <c:v>268.58059327958603</c:v>
                </c:pt>
                <c:pt idx="49">
                  <c:v>273.602052094611</c:v>
                </c:pt>
                <c:pt idx="50">
                  <c:v>279.358499478807</c:v>
                </c:pt>
                <c:pt idx="51">
                  <c:v>284.74745257841698</c:v>
                </c:pt>
                <c:pt idx="52">
                  <c:v>290.13640567802798</c:v>
                </c:pt>
                <c:pt idx="53">
                  <c:v>295.52531628906598</c:v>
                </c:pt>
                <c:pt idx="54">
                  <c:v>301.09803246418301</c:v>
                </c:pt>
                <c:pt idx="55">
                  <c:v>306.303222488286</c:v>
                </c:pt>
                <c:pt idx="56">
                  <c:v>311.692175587897</c:v>
                </c:pt>
                <c:pt idx="57">
                  <c:v>317.08117117607998</c:v>
                </c:pt>
                <c:pt idx="58">
                  <c:v>321.98026408291298</c:v>
                </c:pt>
                <c:pt idx="59">
                  <c:v>327.85916235244503</c:v>
                </c:pt>
                <c:pt idx="60">
                  <c:v>333.24786052062097</c:v>
                </c:pt>
                <c:pt idx="61">
                  <c:v>338.63660117736998</c:v>
                </c:pt>
                <c:pt idx="62">
                  <c:v>344.024916948395</c:v>
                </c:pt>
                <c:pt idx="63">
                  <c:v>347.208713141918</c:v>
                </c:pt>
                <c:pt idx="64">
                  <c:v>362.151604136439</c:v>
                </c:pt>
                <c:pt idx="65">
                  <c:v>367.53966497603</c:v>
                </c:pt>
                <c:pt idx="66">
                  <c:v>372.927853281338</c:v>
                </c:pt>
                <c:pt idx="67">
                  <c:v>378.86753794495701</c:v>
                </c:pt>
                <c:pt idx="68">
                  <c:v>383.70469726624901</c:v>
                </c:pt>
                <c:pt idx="69">
                  <c:v>389.09339543442502</c:v>
                </c:pt>
                <c:pt idx="70">
                  <c:v>394.481838671167</c:v>
                </c:pt>
                <c:pt idx="71">
                  <c:v>399.13539956016899</c:v>
                </c:pt>
              </c:numCache>
            </c:numRef>
          </c:xVal>
          <c:yVal>
            <c:numRef>
              <c:f>'HUNTER CURVE'!$H$1:$H$72</c:f>
              <c:numCache>
                <c:formatCode>General</c:formatCode>
                <c:ptCount val="72"/>
                <c:pt idx="0">
                  <c:v>5.6490722854075797</c:v>
                </c:pt>
                <c:pt idx="1">
                  <c:v>6.5159751252203302</c:v>
                </c:pt>
                <c:pt idx="2">
                  <c:v>7.36542520454182</c:v>
                </c:pt>
                <c:pt idx="3">
                  <c:v>8.2323280443545599</c:v>
                </c:pt>
                <c:pt idx="4">
                  <c:v>9.13543114782793</c:v>
                </c:pt>
                <c:pt idx="5">
                  <c:v>9.7931882389985905</c:v>
                </c:pt>
                <c:pt idx="6">
                  <c:v>10.5276132551956</c:v>
                </c:pt>
                <c:pt idx="7">
                  <c:v>11.1938093493587</c:v>
                </c:pt>
                <c:pt idx="8">
                  <c:v>11.827581873181501</c:v>
                </c:pt>
                <c:pt idx="9">
                  <c:v>12.657641095095901</c:v>
                </c:pt>
                <c:pt idx="10">
                  <c:v>13.210394246065899</c:v>
                </c:pt>
                <c:pt idx="11">
                  <c:v>13.7020627353163</c:v>
                </c:pt>
                <c:pt idx="12">
                  <c:v>14.211183985058099</c:v>
                </c:pt>
                <c:pt idx="13">
                  <c:v>14.7182256123121</c:v>
                </c:pt>
                <c:pt idx="14">
                  <c:v>15.1596154425765</c:v>
                </c:pt>
                <c:pt idx="15">
                  <c:v>15.616378410844399</c:v>
                </c:pt>
                <c:pt idx="16">
                  <c:v>16.0469622383755</c:v>
                </c:pt>
                <c:pt idx="17">
                  <c:v>16.491372310867899</c:v>
                </c:pt>
                <c:pt idx="18">
                  <c:v>17.030843070602799</c:v>
                </c:pt>
                <c:pt idx="19">
                  <c:v>17.539964320344499</c:v>
                </c:pt>
                <c:pt idx="20">
                  <c:v>18.049085570086302</c:v>
                </c:pt>
                <c:pt idx="21">
                  <c:v>18.558206819828001</c:v>
                </c:pt>
                <c:pt idx="22">
                  <c:v>19.040944983685499</c:v>
                </c:pt>
                <c:pt idx="23">
                  <c:v>19.567722939065899</c:v>
                </c:pt>
                <c:pt idx="24">
                  <c:v>19.717974891283902</c:v>
                </c:pt>
                <c:pt idx="25">
                  <c:v>20.5259684842826</c:v>
                </c:pt>
                <c:pt idx="26">
                  <c:v>20.746232333535101</c:v>
                </c:pt>
                <c:pt idx="27">
                  <c:v>21.055533690010598</c:v>
                </c:pt>
                <c:pt idx="28">
                  <c:v>21.355221813857199</c:v>
                </c:pt>
                <c:pt idx="29">
                  <c:v>21.663636317949301</c:v>
                </c:pt>
                <c:pt idx="30">
                  <c:v>21.9982299627783</c:v>
                </c:pt>
                <c:pt idx="31">
                  <c:v>22.420903190653299</c:v>
                </c:pt>
                <c:pt idx="32">
                  <c:v>22.755496835482301</c:v>
                </c:pt>
                <c:pt idx="33">
                  <c:v>23.0726377198202</c:v>
                </c:pt>
                <c:pt idx="34">
                  <c:v>23.407231364649199</c:v>
                </c:pt>
                <c:pt idx="35">
                  <c:v>23.773458137868701</c:v>
                </c:pt>
                <c:pt idx="36">
                  <c:v>24.0764186543073</c:v>
                </c:pt>
                <c:pt idx="37">
                  <c:v>24.3761067781539</c:v>
                </c:pt>
                <c:pt idx="38">
                  <c:v>24.6670685217548</c:v>
                </c:pt>
                <c:pt idx="39">
                  <c:v>24.949303885110002</c:v>
                </c:pt>
                <c:pt idx="40">
                  <c:v>25.2283688284469</c:v>
                </c:pt>
                <c:pt idx="41">
                  <c:v>25.513774611820502</c:v>
                </c:pt>
                <c:pt idx="42">
                  <c:v>25.778557214684501</c:v>
                </c:pt>
                <c:pt idx="43">
                  <c:v>26.086971718776699</c:v>
                </c:pt>
                <c:pt idx="44">
                  <c:v>26.329181645260899</c:v>
                </c:pt>
                <c:pt idx="45">
                  <c:v>26.642716065241601</c:v>
                </c:pt>
                <c:pt idx="46">
                  <c:v>26.8813195273686</c:v>
                </c:pt>
                <c:pt idx="47">
                  <c:v>27.093743848758798</c:v>
                </c:pt>
                <c:pt idx="48">
                  <c:v>27.306168170149</c:v>
                </c:pt>
                <c:pt idx="49">
                  <c:v>27.498754190839101</c:v>
                </c:pt>
                <c:pt idx="50">
                  <c:v>27.7484695734206</c:v>
                </c:pt>
                <c:pt idx="51">
                  <c:v>27.969620275056499</c:v>
                </c:pt>
                <c:pt idx="52">
                  <c:v>28.190770976692299</c:v>
                </c:pt>
                <c:pt idx="53">
                  <c:v>28.403195298082402</c:v>
                </c:pt>
                <c:pt idx="54">
                  <c:v>28.641900732783199</c:v>
                </c:pt>
                <c:pt idx="55">
                  <c:v>28.845496701354101</c:v>
                </c:pt>
                <c:pt idx="56">
                  <c:v>29.066647402989901</c:v>
                </c:pt>
                <c:pt idx="57">
                  <c:v>29.296524484871401</c:v>
                </c:pt>
                <c:pt idx="58">
                  <c:v>29.506737683788199</c:v>
                </c:pt>
                <c:pt idx="59">
                  <c:v>29.7562786486343</c:v>
                </c:pt>
                <c:pt idx="60">
                  <c:v>29.925071068796299</c:v>
                </c:pt>
                <c:pt idx="61">
                  <c:v>30.1025898692039</c:v>
                </c:pt>
                <c:pt idx="62">
                  <c:v>30.192844867155198</c:v>
                </c:pt>
                <c:pt idx="63">
                  <c:v>30.203338772011499</c:v>
                </c:pt>
                <c:pt idx="64">
                  <c:v>30.979554002954298</c:v>
                </c:pt>
                <c:pt idx="65">
                  <c:v>31.0174507194318</c:v>
                </c:pt>
                <c:pt idx="66">
                  <c:v>31.081526576646201</c:v>
                </c:pt>
                <c:pt idx="67">
                  <c:v>31.240807736752899</c:v>
                </c:pt>
                <c:pt idx="68">
                  <c:v>31.305668473776901</c:v>
                </c:pt>
                <c:pt idx="69">
                  <c:v>31.474460893939</c:v>
                </c:pt>
                <c:pt idx="70">
                  <c:v>31.590895032627198</c:v>
                </c:pt>
                <c:pt idx="71">
                  <c:v>31.6720157600381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951-426F-A09B-72E0E86B4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0508240"/>
        <c:axId val="1050510320"/>
      </c:scatterChart>
      <c:valAx>
        <c:axId val="105050824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FIXTURE UNITS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50510320"/>
        <c:crosses val="autoZero"/>
        <c:crossBetween val="midCat"/>
      </c:valAx>
      <c:valAx>
        <c:axId val="105051032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GALLONS PER MINUTE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050508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POLYETHYLENE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TRANSMITTANCE!$A$3:$A$137</c:f>
              <c:numCache>
                <c:formatCode>General</c:formatCode>
                <c:ptCount val="135"/>
                <c:pt idx="0">
                  <c:v>1.70735382760724E-2</c:v>
                </c:pt>
                <c:pt idx="1">
                  <c:v>0.38340867992767003</c:v>
                </c:pt>
                <c:pt idx="2">
                  <c:v>0.91959011452682604</c:v>
                </c:pt>
                <c:pt idx="3">
                  <c:v>1.50572634116938</c:v>
                </c:pt>
                <c:pt idx="4">
                  <c:v>2.0918625678119298</c:v>
                </c:pt>
                <c:pt idx="5">
                  <c:v>2.6779987944544899</c:v>
                </c:pt>
                <c:pt idx="6">
                  <c:v>3.2641350210970401</c:v>
                </c:pt>
                <c:pt idx="7">
                  <c:v>3.8502712477396002</c:v>
                </c:pt>
                <c:pt idx="8">
                  <c:v>4.4364074743821602</c:v>
                </c:pt>
                <c:pt idx="9">
                  <c:v>5.02254370102471</c:v>
                </c:pt>
                <c:pt idx="10">
                  <c:v>5.6086799276672696</c:v>
                </c:pt>
                <c:pt idx="11">
                  <c:v>6.1948161543098204</c:v>
                </c:pt>
                <c:pt idx="12">
                  <c:v>6.78095238095238</c:v>
                </c:pt>
                <c:pt idx="13">
                  <c:v>7.3670886075949404</c:v>
                </c:pt>
                <c:pt idx="14">
                  <c:v>7.9532248342374903</c:v>
                </c:pt>
                <c:pt idx="15">
                  <c:v>8.5393610608800508</c:v>
                </c:pt>
                <c:pt idx="16">
                  <c:v>9.1254972875226006</c:v>
                </c:pt>
                <c:pt idx="17">
                  <c:v>9.7116335141651593</c:v>
                </c:pt>
                <c:pt idx="18">
                  <c:v>10.2977697408077</c:v>
                </c:pt>
                <c:pt idx="19">
                  <c:v>10.8839059674502</c:v>
                </c:pt>
                <c:pt idx="20">
                  <c:v>11.4700421940928</c:v>
                </c:pt>
                <c:pt idx="21">
                  <c:v>12.0561784207353</c:v>
                </c:pt>
                <c:pt idx="22">
                  <c:v>12.6423146473779</c:v>
                </c:pt>
                <c:pt idx="23">
                  <c:v>13.2284508740204</c:v>
                </c:pt>
                <c:pt idx="24">
                  <c:v>13.7648543299176</c:v>
                </c:pt>
                <c:pt idx="25">
                  <c:v>14.400723327305601</c:v>
                </c:pt>
                <c:pt idx="26">
                  <c:v>14.9935201928872</c:v>
                </c:pt>
                <c:pt idx="27">
                  <c:v>15.5729957805907</c:v>
                </c:pt>
                <c:pt idx="28">
                  <c:v>16.1591320072332</c:v>
                </c:pt>
                <c:pt idx="29">
                  <c:v>16.745268233875802</c:v>
                </c:pt>
                <c:pt idx="30">
                  <c:v>17.3314044605183</c:v>
                </c:pt>
                <c:pt idx="31">
                  <c:v>17.917540687160901</c:v>
                </c:pt>
                <c:pt idx="32">
                  <c:v>18.5036769138034</c:v>
                </c:pt>
                <c:pt idx="33">
                  <c:v>19.089813140446001</c:v>
                </c:pt>
                <c:pt idx="34">
                  <c:v>19.675949367088599</c:v>
                </c:pt>
                <c:pt idx="35">
                  <c:v>20.262085593731101</c:v>
                </c:pt>
                <c:pt idx="36">
                  <c:v>20.848221820373698</c:v>
                </c:pt>
                <c:pt idx="37">
                  <c:v>21.4343580470162</c:v>
                </c:pt>
                <c:pt idx="38">
                  <c:v>22.020494273658802</c:v>
                </c:pt>
                <c:pt idx="39">
                  <c:v>22.6066305003013</c:v>
                </c:pt>
                <c:pt idx="40">
                  <c:v>23.192766726943901</c:v>
                </c:pt>
                <c:pt idx="41">
                  <c:v>23.778902953586499</c:v>
                </c:pt>
                <c:pt idx="42">
                  <c:v>24.365039180229001</c:v>
                </c:pt>
                <c:pt idx="43">
                  <c:v>24.951175406871599</c:v>
                </c:pt>
                <c:pt idx="44">
                  <c:v>25.537311633514101</c:v>
                </c:pt>
                <c:pt idx="45">
                  <c:v>26.123447860156698</c:v>
                </c:pt>
                <c:pt idx="46">
                  <c:v>26.7095840867992</c:v>
                </c:pt>
                <c:pt idx="47">
                  <c:v>27.295720313441802</c:v>
                </c:pt>
                <c:pt idx="48">
                  <c:v>27.8818565400843</c:v>
                </c:pt>
                <c:pt idx="49">
                  <c:v>28.467992766726901</c:v>
                </c:pt>
                <c:pt idx="50">
                  <c:v>29.054128993369499</c:v>
                </c:pt>
                <c:pt idx="51">
                  <c:v>29.6082941531042</c:v>
                </c:pt>
                <c:pt idx="52">
                  <c:v>30.3329716696805</c:v>
                </c:pt>
                <c:pt idx="53">
                  <c:v>30.919107896322998</c:v>
                </c:pt>
                <c:pt idx="54">
                  <c:v>31.5052441229656</c:v>
                </c:pt>
                <c:pt idx="55">
                  <c:v>32.091380349608201</c:v>
                </c:pt>
                <c:pt idx="56">
                  <c:v>32.677516576250703</c:v>
                </c:pt>
                <c:pt idx="57">
                  <c:v>33.263652802893297</c:v>
                </c:pt>
                <c:pt idx="58">
                  <c:v>33.849789029535799</c:v>
                </c:pt>
                <c:pt idx="59">
                  <c:v>34.4359252561784</c:v>
                </c:pt>
                <c:pt idx="60">
                  <c:v>35.022061482820902</c:v>
                </c:pt>
                <c:pt idx="61">
                  <c:v>35.608197709463496</c:v>
                </c:pt>
                <c:pt idx="62">
                  <c:v>36.194333936105998</c:v>
                </c:pt>
                <c:pt idx="63">
                  <c:v>36.7804701627486</c:v>
                </c:pt>
                <c:pt idx="64">
                  <c:v>37.366606389391102</c:v>
                </c:pt>
                <c:pt idx="65">
                  <c:v>37.952742616033703</c:v>
                </c:pt>
                <c:pt idx="66">
                  <c:v>38.538878842676297</c:v>
                </c:pt>
                <c:pt idx="67">
                  <c:v>39.125015069318799</c:v>
                </c:pt>
                <c:pt idx="68">
                  <c:v>39.7111512959614</c:v>
                </c:pt>
                <c:pt idx="69">
                  <c:v>40.297287522603902</c:v>
                </c:pt>
                <c:pt idx="70">
                  <c:v>40.883423749246496</c:v>
                </c:pt>
                <c:pt idx="71">
                  <c:v>41.5064496684749</c:v>
                </c:pt>
                <c:pt idx="72">
                  <c:v>42.033494072734499</c:v>
                </c:pt>
                <c:pt idx="73">
                  <c:v>42.641832429174201</c:v>
                </c:pt>
                <c:pt idx="74">
                  <c:v>43.227968655816703</c:v>
                </c:pt>
                <c:pt idx="75">
                  <c:v>43.814104882459297</c:v>
                </c:pt>
                <c:pt idx="76">
                  <c:v>44.400241109101799</c:v>
                </c:pt>
                <c:pt idx="77">
                  <c:v>44.959734779987897</c:v>
                </c:pt>
                <c:pt idx="78">
                  <c:v>45.572513562386902</c:v>
                </c:pt>
                <c:pt idx="79">
                  <c:v>46.158649789029496</c:v>
                </c:pt>
                <c:pt idx="80">
                  <c:v>46.744786015671998</c:v>
                </c:pt>
                <c:pt idx="81">
                  <c:v>47.3591320072332</c:v>
                </c:pt>
                <c:pt idx="82">
                  <c:v>47.917058468957102</c:v>
                </c:pt>
                <c:pt idx="83">
                  <c:v>48.503194695599703</c:v>
                </c:pt>
                <c:pt idx="84">
                  <c:v>49.089330922242297</c:v>
                </c:pt>
                <c:pt idx="85">
                  <c:v>49.675467148884799</c:v>
                </c:pt>
                <c:pt idx="86">
                  <c:v>50.2616033755274</c:v>
                </c:pt>
                <c:pt idx="87">
                  <c:v>50.847739602169902</c:v>
                </c:pt>
                <c:pt idx="88">
                  <c:v>51.433875828812504</c:v>
                </c:pt>
                <c:pt idx="89">
                  <c:v>52.020012055455098</c:v>
                </c:pt>
                <c:pt idx="90">
                  <c:v>52.6061482820976</c:v>
                </c:pt>
                <c:pt idx="91">
                  <c:v>53.192284508740201</c:v>
                </c:pt>
                <c:pt idx="92">
                  <c:v>53.778420735382703</c:v>
                </c:pt>
                <c:pt idx="93">
                  <c:v>54.364556962025297</c:v>
                </c:pt>
                <c:pt idx="94">
                  <c:v>54.950693188667799</c:v>
                </c:pt>
                <c:pt idx="95">
                  <c:v>55.554591119148</c:v>
                </c:pt>
                <c:pt idx="96">
                  <c:v>56.1462778782399</c:v>
                </c:pt>
                <c:pt idx="97">
                  <c:v>56.709101868595504</c:v>
                </c:pt>
                <c:pt idx="98">
                  <c:v>57.295238095237998</c:v>
                </c:pt>
                <c:pt idx="99">
                  <c:v>57.8813743218806</c:v>
                </c:pt>
                <c:pt idx="100">
                  <c:v>58.467510548523201</c:v>
                </c:pt>
                <c:pt idx="101">
                  <c:v>59.053646775165703</c:v>
                </c:pt>
                <c:pt idx="102">
                  <c:v>59.661985131605299</c:v>
                </c:pt>
                <c:pt idx="103">
                  <c:v>60.261442636126098</c:v>
                </c:pt>
                <c:pt idx="104">
                  <c:v>60.8120554550934</c:v>
                </c:pt>
                <c:pt idx="105">
                  <c:v>61.398191681735902</c:v>
                </c:pt>
                <c:pt idx="106">
                  <c:v>61.984327908378503</c:v>
                </c:pt>
                <c:pt idx="107">
                  <c:v>62.520985102901903</c:v>
                </c:pt>
                <c:pt idx="108">
                  <c:v>63.099762909383102</c:v>
                </c:pt>
                <c:pt idx="109">
                  <c:v>63.626478163187002</c:v>
                </c:pt>
                <c:pt idx="110">
                  <c:v>64.152365883062004</c:v>
                </c:pt>
                <c:pt idx="111">
                  <c:v>64.614104882459301</c:v>
                </c:pt>
                <c:pt idx="112">
                  <c:v>65.139990623534899</c:v>
                </c:pt>
                <c:pt idx="113">
                  <c:v>65.733917071158899</c:v>
                </c:pt>
                <c:pt idx="114">
                  <c:v>66.258977965306997</c:v>
                </c:pt>
                <c:pt idx="115">
                  <c:v>66.714861697140094</c:v>
                </c:pt>
                <c:pt idx="116">
                  <c:v>67.209599156118102</c:v>
                </c:pt>
                <c:pt idx="117">
                  <c:v>67.575934297769706</c:v>
                </c:pt>
                <c:pt idx="118">
                  <c:v>68.065099457504502</c:v>
                </c:pt>
                <c:pt idx="119">
                  <c:v>68.478842676311004</c:v>
                </c:pt>
                <c:pt idx="120">
                  <c:v>68.9680078360458</c:v>
                </c:pt>
                <c:pt idx="121">
                  <c:v>69.334342977697403</c:v>
                </c:pt>
                <c:pt idx="122">
                  <c:v>69.820791641551097</c:v>
                </c:pt>
                <c:pt idx="123">
                  <c:v>70.117919572892404</c:v>
                </c:pt>
                <c:pt idx="124">
                  <c:v>70.616515973478002</c:v>
                </c:pt>
                <c:pt idx="125">
                  <c:v>71.1381491703943</c:v>
                </c:pt>
                <c:pt idx="126">
                  <c:v>71.628933092224202</c:v>
                </c:pt>
                <c:pt idx="127">
                  <c:v>72.111829415310396</c:v>
                </c:pt>
                <c:pt idx="128">
                  <c:v>72.620628223159798</c:v>
                </c:pt>
                <c:pt idx="129">
                  <c:v>73.077034358047001</c:v>
                </c:pt>
                <c:pt idx="130">
                  <c:v>73.547197106690703</c:v>
                </c:pt>
                <c:pt idx="131">
                  <c:v>74.017359855334504</c:v>
                </c:pt>
                <c:pt idx="132">
                  <c:v>74.453044002411005</c:v>
                </c:pt>
                <c:pt idx="133">
                  <c:v>74.879324894514696</c:v>
                </c:pt>
                <c:pt idx="134">
                  <c:v>75.092465340566605</c:v>
                </c:pt>
              </c:numCache>
            </c:numRef>
          </c:xVal>
          <c:yVal>
            <c:numRef>
              <c:f>TRANSMITTANCE!$B$3:$B$137</c:f>
              <c:numCache>
                <c:formatCode>General</c:formatCode>
                <c:ptCount val="135"/>
                <c:pt idx="0">
                  <c:v>0.93026523053665899</c:v>
                </c:pt>
                <c:pt idx="1">
                  <c:v>0.92779297052154097</c:v>
                </c:pt>
                <c:pt idx="2">
                  <c:v>0.92844444444444396</c:v>
                </c:pt>
                <c:pt idx="3">
                  <c:v>0.92844444444444396</c:v>
                </c:pt>
                <c:pt idx="4">
                  <c:v>0.92844444444444396</c:v>
                </c:pt>
                <c:pt idx="5">
                  <c:v>0.92831080876795102</c:v>
                </c:pt>
                <c:pt idx="6">
                  <c:v>0.92831080876795102</c:v>
                </c:pt>
                <c:pt idx="7">
                  <c:v>0.92831080876795102</c:v>
                </c:pt>
                <c:pt idx="8">
                  <c:v>0.92831080876795102</c:v>
                </c:pt>
                <c:pt idx="9">
                  <c:v>0.92831080876795102</c:v>
                </c:pt>
                <c:pt idx="10">
                  <c:v>0.92831080876795102</c:v>
                </c:pt>
                <c:pt idx="11">
                  <c:v>0.92831080876795102</c:v>
                </c:pt>
                <c:pt idx="12">
                  <c:v>0.92812857830000595</c:v>
                </c:pt>
                <c:pt idx="13">
                  <c:v>0.92790990173847299</c:v>
                </c:pt>
                <c:pt idx="14">
                  <c:v>0.92790990173847299</c:v>
                </c:pt>
                <c:pt idx="15">
                  <c:v>0.92790990173847299</c:v>
                </c:pt>
                <c:pt idx="16">
                  <c:v>0.92790990173847299</c:v>
                </c:pt>
                <c:pt idx="17">
                  <c:v>0.92790990173847299</c:v>
                </c:pt>
                <c:pt idx="18">
                  <c:v>0.92790990173847299</c:v>
                </c:pt>
                <c:pt idx="19">
                  <c:v>0.92790990173847299</c:v>
                </c:pt>
                <c:pt idx="20">
                  <c:v>0.92790990173847299</c:v>
                </c:pt>
                <c:pt idx="21">
                  <c:v>0.92790990173847299</c:v>
                </c:pt>
                <c:pt idx="22">
                  <c:v>0.92790990173847299</c:v>
                </c:pt>
                <c:pt idx="23">
                  <c:v>0.92790990173847299</c:v>
                </c:pt>
                <c:pt idx="24">
                  <c:v>0.928845351473922</c:v>
                </c:pt>
                <c:pt idx="25">
                  <c:v>0.92989013949013899</c:v>
                </c:pt>
                <c:pt idx="26">
                  <c:v>0.92951352985638602</c:v>
                </c:pt>
                <c:pt idx="27">
                  <c:v>0.92991443688586495</c:v>
                </c:pt>
                <c:pt idx="28">
                  <c:v>0.92984154469868696</c:v>
                </c:pt>
                <c:pt idx="29">
                  <c:v>0.92957427334570097</c:v>
                </c:pt>
                <c:pt idx="30">
                  <c:v>0.92950138115852399</c:v>
                </c:pt>
                <c:pt idx="31">
                  <c:v>0.92964716553287896</c:v>
                </c:pt>
                <c:pt idx="32">
                  <c:v>0.92954997594997502</c:v>
                </c:pt>
                <c:pt idx="33">
                  <c:v>0.92937989417989397</c:v>
                </c:pt>
                <c:pt idx="34">
                  <c:v>0.92964716553287896</c:v>
                </c:pt>
                <c:pt idx="35">
                  <c:v>0.92945278636707196</c:v>
                </c:pt>
                <c:pt idx="36">
                  <c:v>0.92937989417989397</c:v>
                </c:pt>
                <c:pt idx="37">
                  <c:v>0.92937989417989397</c:v>
                </c:pt>
                <c:pt idx="38">
                  <c:v>0.929428488971346</c:v>
                </c:pt>
                <c:pt idx="39">
                  <c:v>0.929234109805538</c:v>
                </c:pt>
                <c:pt idx="40">
                  <c:v>0.92911262282690799</c:v>
                </c:pt>
                <c:pt idx="41">
                  <c:v>0.92903973063973</c:v>
                </c:pt>
                <c:pt idx="42">
                  <c:v>0.92906402803545596</c:v>
                </c:pt>
                <c:pt idx="43">
                  <c:v>0.92896683845255201</c:v>
                </c:pt>
                <c:pt idx="44">
                  <c:v>0.928845351473922</c:v>
                </c:pt>
                <c:pt idx="45">
                  <c:v>0.928845351473922</c:v>
                </c:pt>
                <c:pt idx="46">
                  <c:v>0.928845351473922</c:v>
                </c:pt>
                <c:pt idx="47">
                  <c:v>0.928845351473922</c:v>
                </c:pt>
                <c:pt idx="48">
                  <c:v>0.92857808012093701</c:v>
                </c:pt>
                <c:pt idx="49">
                  <c:v>0.92857808012093701</c:v>
                </c:pt>
                <c:pt idx="50">
                  <c:v>0.92840799835085497</c:v>
                </c:pt>
                <c:pt idx="51">
                  <c:v>0.92804353741496504</c:v>
                </c:pt>
                <c:pt idx="52">
                  <c:v>0.92823791658077304</c:v>
                </c:pt>
                <c:pt idx="53">
                  <c:v>0.92831080876795102</c:v>
                </c:pt>
                <c:pt idx="54">
                  <c:v>0.92857808012093701</c:v>
                </c:pt>
                <c:pt idx="55">
                  <c:v>0.92857808012093701</c:v>
                </c:pt>
                <c:pt idx="56">
                  <c:v>0.92857808012093701</c:v>
                </c:pt>
                <c:pt idx="57">
                  <c:v>0.92852948532948498</c:v>
                </c:pt>
                <c:pt idx="58">
                  <c:v>0.928456593142307</c:v>
                </c:pt>
                <c:pt idx="59">
                  <c:v>0.92804353741496504</c:v>
                </c:pt>
                <c:pt idx="60">
                  <c:v>0.92804353741496504</c:v>
                </c:pt>
                <c:pt idx="61">
                  <c:v>0.92794634783206198</c:v>
                </c:pt>
                <c:pt idx="62">
                  <c:v>0.92794634783206198</c:v>
                </c:pt>
                <c:pt idx="63">
                  <c:v>0.92765477908335003</c:v>
                </c:pt>
                <c:pt idx="64">
                  <c:v>0.92743610252181596</c:v>
                </c:pt>
                <c:pt idx="65">
                  <c:v>0.92709593898165299</c:v>
                </c:pt>
                <c:pt idx="66">
                  <c:v>0.92697445200302298</c:v>
                </c:pt>
                <c:pt idx="67">
                  <c:v>0.92658569367140697</c:v>
                </c:pt>
                <c:pt idx="68">
                  <c:v>0.92636701710987401</c:v>
                </c:pt>
                <c:pt idx="69">
                  <c:v>0.92597825877825801</c:v>
                </c:pt>
                <c:pt idx="70">
                  <c:v>0.92568669002954695</c:v>
                </c:pt>
                <c:pt idx="71">
                  <c:v>0.92436341647770204</c:v>
                </c:pt>
                <c:pt idx="72">
                  <c:v>0.92421264802217096</c:v>
                </c:pt>
                <c:pt idx="73">
                  <c:v>0.92418025149453698</c:v>
                </c:pt>
                <c:pt idx="74">
                  <c:v>0.92367000618429096</c:v>
                </c:pt>
                <c:pt idx="75">
                  <c:v>0.92301397649968997</c:v>
                </c:pt>
                <c:pt idx="76">
                  <c:v>0.92243083900226697</c:v>
                </c:pt>
                <c:pt idx="77">
                  <c:v>0.92149538926681696</c:v>
                </c:pt>
                <c:pt idx="78">
                  <c:v>0.92116737442451702</c:v>
                </c:pt>
                <c:pt idx="79">
                  <c:v>0.92055993953136805</c:v>
                </c:pt>
                <c:pt idx="80">
                  <c:v>0.91956374630660298</c:v>
                </c:pt>
                <c:pt idx="81">
                  <c:v>0.91898045567433295</c:v>
                </c:pt>
                <c:pt idx="82">
                  <c:v>0.917862928605785</c:v>
                </c:pt>
                <c:pt idx="83">
                  <c:v>0.917085411942554</c:v>
                </c:pt>
                <c:pt idx="84">
                  <c:v>0.91630789527932299</c:v>
                </c:pt>
                <c:pt idx="85">
                  <c:v>0.91560327080326998</c:v>
                </c:pt>
                <c:pt idx="86">
                  <c:v>0.91480145674431301</c:v>
                </c:pt>
                <c:pt idx="87">
                  <c:v>0.91358658695801498</c:v>
                </c:pt>
                <c:pt idx="88">
                  <c:v>0.91254179894179799</c:v>
                </c:pt>
                <c:pt idx="89">
                  <c:v>0.91144841613412997</c:v>
                </c:pt>
                <c:pt idx="90">
                  <c:v>0.91018495155638002</c:v>
                </c:pt>
                <c:pt idx="91">
                  <c:v>0.90860562083419205</c:v>
                </c:pt>
                <c:pt idx="92">
                  <c:v>0.90760942760942698</c:v>
                </c:pt>
                <c:pt idx="93">
                  <c:v>0.90644315261458097</c:v>
                </c:pt>
                <c:pt idx="94">
                  <c:v>0.90534976980691195</c:v>
                </c:pt>
                <c:pt idx="95">
                  <c:v>0.90423093258467402</c:v>
                </c:pt>
                <c:pt idx="96">
                  <c:v>0.90161230968577899</c:v>
                </c:pt>
                <c:pt idx="97">
                  <c:v>0.90039310107881498</c:v>
                </c:pt>
                <c:pt idx="98">
                  <c:v>0.89859509379509295</c:v>
                </c:pt>
                <c:pt idx="99">
                  <c:v>0.89735592661306895</c:v>
                </c:pt>
                <c:pt idx="100">
                  <c:v>0.89563081151652502</c:v>
                </c:pt>
                <c:pt idx="101">
                  <c:v>0.89378420944135195</c:v>
                </c:pt>
                <c:pt idx="102">
                  <c:v>0.89144963466868199</c:v>
                </c:pt>
                <c:pt idx="103">
                  <c:v>0.88908131351305897</c:v>
                </c:pt>
                <c:pt idx="104">
                  <c:v>0.88756407613550403</c:v>
                </c:pt>
                <c:pt idx="105">
                  <c:v>0.884721280835566</c:v>
                </c:pt>
                <c:pt idx="106">
                  <c:v>0.881732701161272</c:v>
                </c:pt>
                <c:pt idx="107">
                  <c:v>0.87806379440665105</c:v>
                </c:pt>
                <c:pt idx="108">
                  <c:v>0.87471399344923095</c:v>
                </c:pt>
                <c:pt idx="109">
                  <c:v>0.87194085068370697</c:v>
                </c:pt>
                <c:pt idx="110">
                  <c:v>0.86834179894179897</c:v>
                </c:pt>
                <c:pt idx="111">
                  <c:v>0.86463733938019605</c:v>
                </c:pt>
                <c:pt idx="112">
                  <c:v>0.86141872847904499</c:v>
                </c:pt>
                <c:pt idx="113">
                  <c:v>0.85720256196045597</c:v>
                </c:pt>
                <c:pt idx="114">
                  <c:v>0.85369755605945996</c:v>
                </c:pt>
                <c:pt idx="115">
                  <c:v>0.84934697236919399</c:v>
                </c:pt>
                <c:pt idx="116">
                  <c:v>0.845824187452758</c:v>
                </c:pt>
                <c:pt idx="117">
                  <c:v>0.84124716553287904</c:v>
                </c:pt>
                <c:pt idx="118">
                  <c:v>0.83809886621315099</c:v>
                </c:pt>
                <c:pt idx="119">
                  <c:v>0.83297354497354403</c:v>
                </c:pt>
                <c:pt idx="120">
                  <c:v>0.82983801965230497</c:v>
                </c:pt>
                <c:pt idx="121">
                  <c:v>0.82494361300075503</c:v>
                </c:pt>
                <c:pt idx="122">
                  <c:v>0.82172299319727804</c:v>
                </c:pt>
                <c:pt idx="123">
                  <c:v>0.81687774538386704</c:v>
                </c:pt>
                <c:pt idx="124">
                  <c:v>0.81218140589569099</c:v>
                </c:pt>
                <c:pt idx="125">
                  <c:v>0.80628736921669197</c:v>
                </c:pt>
                <c:pt idx="126">
                  <c:v>0.801244916675665</c:v>
                </c:pt>
                <c:pt idx="127">
                  <c:v>0.79512933448511602</c:v>
                </c:pt>
                <c:pt idx="128">
                  <c:v>0.78922576635592501</c:v>
                </c:pt>
                <c:pt idx="129">
                  <c:v>0.78268984630889304</c:v>
                </c:pt>
                <c:pt idx="130">
                  <c:v>0.77688673889308801</c:v>
                </c:pt>
                <c:pt idx="131">
                  <c:v>0.77076220710506405</c:v>
                </c:pt>
                <c:pt idx="132">
                  <c:v>0.764440060468631</c:v>
                </c:pt>
                <c:pt idx="133">
                  <c:v>0.75845986394557796</c:v>
                </c:pt>
                <c:pt idx="134">
                  <c:v>0.75351534391534303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5B-4039-BF8A-880E8077B598}"/>
            </c:ext>
          </c:extLst>
        </c:ser>
        <c:ser>
          <c:idx val="1"/>
          <c:order val="1"/>
          <c:tx>
            <c:v>GLASS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TRANSMITTANCE!$C$3:$C$237</c:f>
              <c:numCache>
                <c:formatCode>General</c:formatCode>
                <c:ptCount val="235"/>
                <c:pt idx="0">
                  <c:v>1.70735382760724E-2</c:v>
                </c:pt>
                <c:pt idx="1">
                  <c:v>0.61256637676167802</c:v>
                </c:pt>
                <c:pt idx="2">
                  <c:v>1.18601567209162</c:v>
                </c:pt>
                <c:pt idx="3">
                  <c:v>1.77215189873417</c:v>
                </c:pt>
                <c:pt idx="4">
                  <c:v>2.3582881253767298</c:v>
                </c:pt>
                <c:pt idx="5">
                  <c:v>2.9444243520192899</c:v>
                </c:pt>
                <c:pt idx="6">
                  <c:v>3.5305605786618401</c:v>
                </c:pt>
                <c:pt idx="7">
                  <c:v>4.1166968053044002</c:v>
                </c:pt>
                <c:pt idx="8">
                  <c:v>4.70283303194695</c:v>
                </c:pt>
                <c:pt idx="9">
                  <c:v>5.2889692585895096</c:v>
                </c:pt>
                <c:pt idx="10">
                  <c:v>5.8751054852320603</c:v>
                </c:pt>
                <c:pt idx="11">
                  <c:v>6.4612417118746199</c:v>
                </c:pt>
                <c:pt idx="12">
                  <c:v>7.0473779385171698</c:v>
                </c:pt>
                <c:pt idx="13">
                  <c:v>7.5878412124343404</c:v>
                </c:pt>
                <c:pt idx="14">
                  <c:v>8.2196503918022898</c:v>
                </c:pt>
                <c:pt idx="15">
                  <c:v>8.8057866184448397</c:v>
                </c:pt>
                <c:pt idx="16">
                  <c:v>9.3919228450874002</c:v>
                </c:pt>
                <c:pt idx="17">
                  <c:v>9.97805907172995</c:v>
                </c:pt>
                <c:pt idx="18">
                  <c:v>10.5641952983725</c:v>
                </c:pt>
                <c:pt idx="19">
                  <c:v>11.150331525015</c:v>
                </c:pt>
                <c:pt idx="20">
                  <c:v>11.7733574442435</c:v>
                </c:pt>
                <c:pt idx="21">
                  <c:v>12.3226039783001</c:v>
                </c:pt>
                <c:pt idx="22">
                  <c:v>12.908740204942699</c:v>
                </c:pt>
                <c:pt idx="23">
                  <c:v>13.494876431585199</c:v>
                </c:pt>
                <c:pt idx="24">
                  <c:v>14.081012658227801</c:v>
                </c:pt>
                <c:pt idx="25">
                  <c:v>14.640506329113901</c:v>
                </c:pt>
                <c:pt idx="26">
                  <c:v>15.4131404460518</c:v>
                </c:pt>
                <c:pt idx="27">
                  <c:v>15.9992766726943</c:v>
                </c:pt>
                <c:pt idx="28">
                  <c:v>16.5712035362668</c:v>
                </c:pt>
                <c:pt idx="29">
                  <c:v>17.171549125979499</c:v>
                </c:pt>
                <c:pt idx="30">
                  <c:v>17.757685352622001</c:v>
                </c:pt>
                <c:pt idx="31">
                  <c:v>18.343821579264599</c:v>
                </c:pt>
                <c:pt idx="32">
                  <c:v>18.929957805907101</c:v>
                </c:pt>
                <c:pt idx="33">
                  <c:v>19.516094032549699</c:v>
                </c:pt>
                <c:pt idx="34">
                  <c:v>20.102230259192201</c:v>
                </c:pt>
                <c:pt idx="35">
                  <c:v>20.688366485834798</c:v>
                </c:pt>
                <c:pt idx="36">
                  <c:v>21.2745027124773</c:v>
                </c:pt>
                <c:pt idx="37">
                  <c:v>21.860638939119902</c:v>
                </c:pt>
                <c:pt idx="38">
                  <c:v>22.446775165762499</c:v>
                </c:pt>
                <c:pt idx="39">
                  <c:v>23.032911392405001</c:v>
                </c:pt>
                <c:pt idx="40">
                  <c:v>23.619047619047599</c:v>
                </c:pt>
                <c:pt idx="41">
                  <c:v>24.205183845690101</c:v>
                </c:pt>
                <c:pt idx="42">
                  <c:v>24.791320072332699</c:v>
                </c:pt>
                <c:pt idx="43">
                  <c:v>25.377456298975201</c:v>
                </c:pt>
                <c:pt idx="44">
                  <c:v>25.963592525617798</c:v>
                </c:pt>
                <c:pt idx="45">
                  <c:v>26.5497287522603</c:v>
                </c:pt>
                <c:pt idx="46">
                  <c:v>27.135864978902902</c:v>
                </c:pt>
                <c:pt idx="47">
                  <c:v>27.722001205545499</c:v>
                </c:pt>
                <c:pt idx="48">
                  <c:v>28.308137432188001</c:v>
                </c:pt>
                <c:pt idx="49">
                  <c:v>28.894273658830599</c:v>
                </c:pt>
                <c:pt idx="50">
                  <c:v>29.480409885473101</c:v>
                </c:pt>
                <c:pt idx="51">
                  <c:v>30.1426676999913</c:v>
                </c:pt>
                <c:pt idx="52">
                  <c:v>30.652682338758201</c:v>
                </c:pt>
                <c:pt idx="53">
                  <c:v>31.238818565400798</c:v>
                </c:pt>
                <c:pt idx="54">
                  <c:v>31.8249547920433</c:v>
                </c:pt>
                <c:pt idx="55">
                  <c:v>32.411091018685902</c:v>
                </c:pt>
                <c:pt idx="56">
                  <c:v>32.997227245328503</c:v>
                </c:pt>
                <c:pt idx="57">
                  <c:v>33.583363471970998</c:v>
                </c:pt>
                <c:pt idx="58">
                  <c:v>34.169499698613599</c:v>
                </c:pt>
                <c:pt idx="59">
                  <c:v>34.755635925256101</c:v>
                </c:pt>
                <c:pt idx="60">
                  <c:v>35.341772151898702</c:v>
                </c:pt>
                <c:pt idx="61">
                  <c:v>35.927908378541197</c:v>
                </c:pt>
                <c:pt idx="62">
                  <c:v>36.514044605183798</c:v>
                </c:pt>
                <c:pt idx="63">
                  <c:v>36.940325497287503</c:v>
                </c:pt>
                <c:pt idx="64">
                  <c:v>38.059312839059601</c:v>
                </c:pt>
                <c:pt idx="65">
                  <c:v>38.645449065702202</c:v>
                </c:pt>
                <c:pt idx="66">
                  <c:v>39.231585292344697</c:v>
                </c:pt>
                <c:pt idx="67">
                  <c:v>39.577938517179</c:v>
                </c:pt>
                <c:pt idx="68">
                  <c:v>40.616998191681702</c:v>
                </c:pt>
                <c:pt idx="69">
                  <c:v>41.203134418324296</c:v>
                </c:pt>
                <c:pt idx="70">
                  <c:v>41.789270644966798</c:v>
                </c:pt>
                <c:pt idx="71">
                  <c:v>42.3754068716094</c:v>
                </c:pt>
                <c:pt idx="72">
                  <c:v>42.961543098251902</c:v>
                </c:pt>
                <c:pt idx="73">
                  <c:v>43.547679324894503</c:v>
                </c:pt>
                <c:pt idx="74">
                  <c:v>44.133815551536998</c:v>
                </c:pt>
                <c:pt idx="75">
                  <c:v>44.687980711271798</c:v>
                </c:pt>
                <c:pt idx="76">
                  <c:v>45.412658227848098</c:v>
                </c:pt>
                <c:pt idx="77">
                  <c:v>45.9987944544906</c:v>
                </c:pt>
                <c:pt idx="78">
                  <c:v>46.584930681133201</c:v>
                </c:pt>
                <c:pt idx="79">
                  <c:v>47.171066907775703</c:v>
                </c:pt>
                <c:pt idx="80">
                  <c:v>47.757203134418297</c:v>
                </c:pt>
                <c:pt idx="81">
                  <c:v>48.343339361060799</c:v>
                </c:pt>
                <c:pt idx="82">
                  <c:v>48.929475587703401</c:v>
                </c:pt>
                <c:pt idx="83">
                  <c:v>49.515611814345903</c:v>
                </c:pt>
                <c:pt idx="84">
                  <c:v>50.101748040988497</c:v>
                </c:pt>
                <c:pt idx="85">
                  <c:v>50.687884267631098</c:v>
                </c:pt>
                <c:pt idx="86">
                  <c:v>51.2740204942736</c:v>
                </c:pt>
                <c:pt idx="87">
                  <c:v>51.860156720916201</c:v>
                </c:pt>
                <c:pt idx="88">
                  <c:v>52.446292947558703</c:v>
                </c:pt>
                <c:pt idx="89">
                  <c:v>53.032429174201297</c:v>
                </c:pt>
                <c:pt idx="90">
                  <c:v>53.618565400843799</c:v>
                </c:pt>
                <c:pt idx="91">
                  <c:v>54.204701627486401</c:v>
                </c:pt>
                <c:pt idx="92">
                  <c:v>54.790837854128903</c:v>
                </c:pt>
                <c:pt idx="93">
                  <c:v>55.376974080771497</c:v>
                </c:pt>
                <c:pt idx="94">
                  <c:v>55.963110307414098</c:v>
                </c:pt>
                <c:pt idx="95">
                  <c:v>56.5492465340566</c:v>
                </c:pt>
                <c:pt idx="96">
                  <c:v>57.135382760699201</c:v>
                </c:pt>
                <c:pt idx="97">
                  <c:v>57.721518987341703</c:v>
                </c:pt>
                <c:pt idx="98">
                  <c:v>58.307655213984297</c:v>
                </c:pt>
                <c:pt idx="99">
                  <c:v>58.893791440626799</c:v>
                </c:pt>
                <c:pt idx="100">
                  <c:v>59.266787221217598</c:v>
                </c:pt>
                <c:pt idx="101">
                  <c:v>60.302886611747297</c:v>
                </c:pt>
                <c:pt idx="102">
                  <c:v>60.8120554550934</c:v>
                </c:pt>
                <c:pt idx="103">
                  <c:v>61.398191681735902</c:v>
                </c:pt>
                <c:pt idx="104">
                  <c:v>61.842234277677299</c:v>
                </c:pt>
                <c:pt idx="105">
                  <c:v>62.886844484629201</c:v>
                </c:pt>
                <c:pt idx="106">
                  <c:v>63.390462795525998</c:v>
                </c:pt>
                <c:pt idx="107">
                  <c:v>63.944035898466197</c:v>
                </c:pt>
                <c:pt idx="108">
                  <c:v>64.441711874623195</c:v>
                </c:pt>
                <c:pt idx="109">
                  <c:v>64.854111771290704</c:v>
                </c:pt>
                <c:pt idx="110">
                  <c:v>65.348902092482504</c:v>
                </c:pt>
                <c:pt idx="111">
                  <c:v>65.550878038979306</c:v>
                </c:pt>
                <c:pt idx="112">
                  <c:v>65.625477195097403</c:v>
                </c:pt>
                <c:pt idx="113">
                  <c:v>66.105931283905903</c:v>
                </c:pt>
                <c:pt idx="114">
                  <c:v>66.127245328511094</c:v>
                </c:pt>
                <c:pt idx="115">
                  <c:v>66.657876230661003</c:v>
                </c:pt>
                <c:pt idx="116">
                  <c:v>67.213880995436099</c:v>
                </c:pt>
                <c:pt idx="117">
                  <c:v>67.408752260397804</c:v>
                </c:pt>
                <c:pt idx="118">
                  <c:v>67.725097554011597</c:v>
                </c:pt>
                <c:pt idx="119">
                  <c:v>68.049949768937097</c:v>
                </c:pt>
                <c:pt idx="120">
                  <c:v>68.3189873417721</c:v>
                </c:pt>
                <c:pt idx="121">
                  <c:v>68.783508137432094</c:v>
                </c:pt>
                <c:pt idx="122">
                  <c:v>68.940084388185596</c:v>
                </c:pt>
                <c:pt idx="123">
                  <c:v>69.456930451505499</c:v>
                </c:pt>
                <c:pt idx="124">
                  <c:v>69.833890898131401</c:v>
                </c:pt>
                <c:pt idx="125">
                  <c:v>69.763954189270606</c:v>
                </c:pt>
                <c:pt idx="126">
                  <c:v>70.3080232226134</c:v>
                </c:pt>
                <c:pt idx="127">
                  <c:v>70.657959949099194</c:v>
                </c:pt>
                <c:pt idx="128">
                  <c:v>70.740847900341507</c:v>
                </c:pt>
                <c:pt idx="129">
                  <c:v>71.049457504520703</c:v>
                </c:pt>
                <c:pt idx="130">
                  <c:v>71.519558389644999</c:v>
                </c:pt>
                <c:pt idx="131">
                  <c:v>71.895358649789003</c:v>
                </c:pt>
                <c:pt idx="132">
                  <c:v>72.264255575647894</c:v>
                </c:pt>
                <c:pt idx="133">
                  <c:v>72.563844594224307</c:v>
                </c:pt>
                <c:pt idx="134">
                  <c:v>73.113811533052001</c:v>
                </c:pt>
                <c:pt idx="135">
                  <c:v>73.493911995177797</c:v>
                </c:pt>
                <c:pt idx="136">
                  <c:v>73.866907775768496</c:v>
                </c:pt>
                <c:pt idx="137">
                  <c:v>74.239903556359195</c:v>
                </c:pt>
                <c:pt idx="138">
                  <c:v>74.545404862366794</c:v>
                </c:pt>
                <c:pt idx="139">
                  <c:v>74.779859353023895</c:v>
                </c:pt>
                <c:pt idx="140">
                  <c:v>74.990739218587294</c:v>
                </c:pt>
                <c:pt idx="141">
                  <c:v>75.347049762239607</c:v>
                </c:pt>
                <c:pt idx="142">
                  <c:v>75.669198312236205</c:v>
                </c:pt>
                <c:pt idx="143">
                  <c:v>75.865099457504499</c:v>
                </c:pt>
                <c:pt idx="144">
                  <c:v>75.945027124773901</c:v>
                </c:pt>
                <c:pt idx="145">
                  <c:v>76.208492398365806</c:v>
                </c:pt>
                <c:pt idx="146">
                  <c:v>76.424593128390597</c:v>
                </c:pt>
                <c:pt idx="147">
                  <c:v>76.740497718074494</c:v>
                </c:pt>
                <c:pt idx="148">
                  <c:v>76.890837854128904</c:v>
                </c:pt>
                <c:pt idx="149">
                  <c:v>77.075432704727405</c:v>
                </c:pt>
                <c:pt idx="150">
                  <c:v>77.2156720916214</c:v>
                </c:pt>
                <c:pt idx="151">
                  <c:v>77.437010247136797</c:v>
                </c:pt>
                <c:pt idx="152">
                  <c:v>77.640747438215698</c:v>
                </c:pt>
                <c:pt idx="153">
                  <c:v>77.863291139240502</c:v>
                </c:pt>
                <c:pt idx="154">
                  <c:v>78.083536266827394</c:v>
                </c:pt>
                <c:pt idx="155">
                  <c:v>78.240385774562995</c:v>
                </c:pt>
                <c:pt idx="156">
                  <c:v>78.445328511151203</c:v>
                </c:pt>
                <c:pt idx="157">
                  <c:v>78.595961422543695</c:v>
                </c:pt>
                <c:pt idx="158">
                  <c:v>78.755816757082499</c:v>
                </c:pt>
                <c:pt idx="159">
                  <c:v>78.915672091621403</c:v>
                </c:pt>
                <c:pt idx="160">
                  <c:v>79.075527426160306</c:v>
                </c:pt>
                <c:pt idx="161">
                  <c:v>79.241599357042304</c:v>
                </c:pt>
                <c:pt idx="162">
                  <c:v>79.416757082579807</c:v>
                </c:pt>
                <c:pt idx="163">
                  <c:v>79.617600964436406</c:v>
                </c:pt>
                <c:pt idx="164">
                  <c:v>79.746031746031704</c:v>
                </c:pt>
                <c:pt idx="165">
                  <c:v>79.937604408852096</c:v>
                </c:pt>
                <c:pt idx="166">
                  <c:v>80.097935503315199</c:v>
                </c:pt>
                <c:pt idx="167">
                  <c:v>80.247799879445395</c:v>
                </c:pt>
                <c:pt idx="168">
                  <c:v>80.392284508740204</c:v>
                </c:pt>
                <c:pt idx="169">
                  <c:v>80.537234916981703</c:v>
                </c:pt>
                <c:pt idx="170">
                  <c:v>80.669640345589698</c:v>
                </c:pt>
                <c:pt idx="171">
                  <c:v>80.634116937914399</c:v>
                </c:pt>
                <c:pt idx="172">
                  <c:v>80.933105619181504</c:v>
                </c:pt>
                <c:pt idx="173">
                  <c:v>81.064838255977406</c:v>
                </c:pt>
                <c:pt idx="174">
                  <c:v>81.216700823789395</c:v>
                </c:pt>
                <c:pt idx="175">
                  <c:v>81.283226478163101</c:v>
                </c:pt>
                <c:pt idx="176">
                  <c:v>81.412079566003598</c:v>
                </c:pt>
                <c:pt idx="177">
                  <c:v>81.539963833634701</c:v>
                </c:pt>
                <c:pt idx="178">
                  <c:v>81.602937147240894</c:v>
                </c:pt>
                <c:pt idx="179">
                  <c:v>81.743416077593196</c:v>
                </c:pt>
                <c:pt idx="180">
                  <c:v>81.833031946955998</c:v>
                </c:pt>
                <c:pt idx="181">
                  <c:v>81.939602169981896</c:v>
                </c:pt>
                <c:pt idx="182">
                  <c:v>82.046172393007794</c:v>
                </c:pt>
                <c:pt idx="183">
                  <c:v>82.175286317058394</c:v>
                </c:pt>
                <c:pt idx="184">
                  <c:v>82.268193690978507</c:v>
                </c:pt>
                <c:pt idx="185">
                  <c:v>82.374763914004404</c:v>
                </c:pt>
                <c:pt idx="186">
                  <c:v>82.481334137030302</c:v>
                </c:pt>
                <c:pt idx="187">
                  <c:v>82.5879043600562</c:v>
                </c:pt>
                <c:pt idx="188">
                  <c:v>82.694474583082098</c:v>
                </c:pt>
                <c:pt idx="189">
                  <c:v>82.801044806108095</c:v>
                </c:pt>
                <c:pt idx="190">
                  <c:v>82.907615029134007</c:v>
                </c:pt>
                <c:pt idx="191">
                  <c:v>83.007353827606906</c:v>
                </c:pt>
                <c:pt idx="192">
                  <c:v>83.1598312236287</c:v>
                </c:pt>
                <c:pt idx="193">
                  <c:v>83.271729957805903</c:v>
                </c:pt>
                <c:pt idx="194">
                  <c:v>83.356501726121905</c:v>
                </c:pt>
                <c:pt idx="195">
                  <c:v>83.4787221217601</c:v>
                </c:pt>
                <c:pt idx="196">
                  <c:v>83.569642172173801</c:v>
                </c:pt>
                <c:pt idx="197">
                  <c:v>83.721101064898505</c:v>
                </c:pt>
                <c:pt idx="198">
                  <c:v>83.895726658418099</c:v>
                </c:pt>
                <c:pt idx="199">
                  <c:v>84.008840667068498</c:v>
                </c:pt>
                <c:pt idx="200">
                  <c:v>84.049208175790397</c:v>
                </c:pt>
                <c:pt idx="201">
                  <c:v>84.2042194092827</c:v>
                </c:pt>
                <c:pt idx="202">
                  <c:v>84.373762945914805</c:v>
                </c:pt>
                <c:pt idx="203">
                  <c:v>84.506168374522801</c:v>
                </c:pt>
                <c:pt idx="204">
                  <c:v>84.566558167570804</c:v>
                </c:pt>
                <c:pt idx="205">
                  <c:v>84.717088607594903</c:v>
                </c:pt>
                <c:pt idx="206">
                  <c:v>84.850301386377296</c:v>
                </c:pt>
                <c:pt idx="207">
                  <c:v>85.016817359855295</c:v>
                </c:pt>
                <c:pt idx="208">
                  <c:v>85.114910406049603</c:v>
                </c:pt>
                <c:pt idx="209">
                  <c:v>85.184665461121099</c:v>
                </c:pt>
                <c:pt idx="210">
                  <c:v>85.367088607594894</c:v>
                </c:pt>
                <c:pt idx="211">
                  <c:v>85.5058985619564</c:v>
                </c:pt>
                <c:pt idx="212">
                  <c:v>85.565411803386397</c:v>
                </c:pt>
                <c:pt idx="213">
                  <c:v>85.745935302391004</c:v>
                </c:pt>
                <c:pt idx="214">
                  <c:v>85.831464737793794</c:v>
                </c:pt>
                <c:pt idx="215">
                  <c:v>85.935985533453803</c:v>
                </c:pt>
                <c:pt idx="216">
                  <c:v>86.115378742214105</c:v>
                </c:pt>
                <c:pt idx="217">
                  <c:v>86.190992852837297</c:v>
                </c:pt>
                <c:pt idx="218">
                  <c:v>86.364042595941299</c:v>
                </c:pt>
                <c:pt idx="219">
                  <c:v>86.476448807371</c:v>
                </c:pt>
                <c:pt idx="220">
                  <c:v>86.602049427365799</c:v>
                </c:pt>
                <c:pt idx="221">
                  <c:v>86.708619650391796</c:v>
                </c:pt>
                <c:pt idx="222">
                  <c:v>86.823387582881196</c:v>
                </c:pt>
                <c:pt idx="223">
                  <c:v>86.899557966646498</c:v>
                </c:pt>
                <c:pt idx="224">
                  <c:v>86.979485633915999</c:v>
                </c:pt>
                <c:pt idx="225">
                  <c:v>87.108257986738906</c:v>
                </c:pt>
                <c:pt idx="226">
                  <c:v>87.201506931886598</c:v>
                </c:pt>
                <c:pt idx="227">
                  <c:v>87.241470765521399</c:v>
                </c:pt>
                <c:pt idx="228">
                  <c:v>87.327546714888399</c:v>
                </c:pt>
                <c:pt idx="229">
                  <c:v>87.436849507735502</c:v>
                </c:pt>
                <c:pt idx="230">
                  <c:v>87.534538878842596</c:v>
                </c:pt>
                <c:pt idx="231">
                  <c:v>87.667751657625004</c:v>
                </c:pt>
                <c:pt idx="232">
                  <c:v>87.781934039438497</c:v>
                </c:pt>
                <c:pt idx="233">
                  <c:v>87.844258589511696</c:v>
                </c:pt>
                <c:pt idx="234">
                  <c:v>88.253887884267598</c:v>
                </c:pt>
              </c:numCache>
            </c:numRef>
          </c:xVal>
          <c:yVal>
            <c:numRef>
              <c:f>TRANSMITTANCE!$D$3:$D$237</c:f>
              <c:numCache>
                <c:formatCode>General</c:formatCode>
                <c:ptCount val="235"/>
                <c:pt idx="0">
                  <c:v>0.93101693121693097</c:v>
                </c:pt>
                <c:pt idx="1">
                  <c:v>0.92836171759709096</c:v>
                </c:pt>
                <c:pt idx="2">
                  <c:v>0.92844444444444396</c:v>
                </c:pt>
                <c:pt idx="3">
                  <c:v>0.92844444444444396</c:v>
                </c:pt>
                <c:pt idx="4">
                  <c:v>0.92838370095512901</c:v>
                </c:pt>
                <c:pt idx="5">
                  <c:v>0.92831080876795102</c:v>
                </c:pt>
                <c:pt idx="6">
                  <c:v>0.92831080876795102</c:v>
                </c:pt>
                <c:pt idx="7">
                  <c:v>0.92820147048718404</c:v>
                </c:pt>
                <c:pt idx="8">
                  <c:v>0.92817717309145797</c:v>
                </c:pt>
                <c:pt idx="9">
                  <c:v>0.92814072699786898</c:v>
                </c:pt>
                <c:pt idx="10">
                  <c:v>0.92771552257266499</c:v>
                </c:pt>
                <c:pt idx="11">
                  <c:v>0.92722957465814604</c:v>
                </c:pt>
                <c:pt idx="12">
                  <c:v>0.92623338143338096</c:v>
                </c:pt>
                <c:pt idx="13">
                  <c:v>0.92638263686426903</c:v>
                </c:pt>
                <c:pt idx="14">
                  <c:v>0.92631842231842199</c:v>
                </c:pt>
                <c:pt idx="15">
                  <c:v>0.92554090565519098</c:v>
                </c:pt>
                <c:pt idx="16">
                  <c:v>0.92483628117913796</c:v>
                </c:pt>
                <c:pt idx="17">
                  <c:v>0.92471479420050795</c:v>
                </c:pt>
                <c:pt idx="18">
                  <c:v>0.92456900982615198</c:v>
                </c:pt>
                <c:pt idx="19">
                  <c:v>0.92432603586889295</c:v>
                </c:pt>
                <c:pt idx="20">
                  <c:v>0.92378775510204003</c:v>
                </c:pt>
                <c:pt idx="21">
                  <c:v>0.92363356009070197</c:v>
                </c:pt>
                <c:pt idx="22">
                  <c:v>0.92349857455889195</c:v>
                </c:pt>
                <c:pt idx="23">
                  <c:v>0.92328597234628895</c:v>
                </c:pt>
                <c:pt idx="24">
                  <c:v>0.92316583522297802</c:v>
                </c:pt>
                <c:pt idx="25">
                  <c:v>0.92302201778065696</c:v>
                </c:pt>
                <c:pt idx="26">
                  <c:v>0.92294328264831604</c:v>
                </c:pt>
                <c:pt idx="27">
                  <c:v>0.92256204493918703</c:v>
                </c:pt>
                <c:pt idx="28">
                  <c:v>0.92164921877886896</c:v>
                </c:pt>
                <c:pt idx="29">
                  <c:v>0.92109448223733903</c:v>
                </c:pt>
                <c:pt idx="30">
                  <c:v>0.92087580567580496</c:v>
                </c:pt>
                <c:pt idx="31">
                  <c:v>0.92014688380402598</c:v>
                </c:pt>
                <c:pt idx="32">
                  <c:v>0.91944225932797297</c:v>
                </c:pt>
                <c:pt idx="33">
                  <c:v>0.91890771662200199</c:v>
                </c:pt>
                <c:pt idx="34">
                  <c:v>0.91851895829038599</c:v>
                </c:pt>
                <c:pt idx="35">
                  <c:v>0.91803301037586704</c:v>
                </c:pt>
                <c:pt idx="36">
                  <c:v>0.91776573902288106</c:v>
                </c:pt>
                <c:pt idx="37">
                  <c:v>0.91737698069126605</c:v>
                </c:pt>
                <c:pt idx="38">
                  <c:v>0.91691533017247295</c:v>
                </c:pt>
                <c:pt idx="39">
                  <c:v>0.91674524840239102</c:v>
                </c:pt>
                <c:pt idx="40">
                  <c:v>0.91606492132206396</c:v>
                </c:pt>
                <c:pt idx="41">
                  <c:v>0.915457486428915</c:v>
                </c:pt>
                <c:pt idx="42">
                  <c:v>0.914679969765684</c:v>
                </c:pt>
                <c:pt idx="43">
                  <c:v>0.91392675049817895</c:v>
                </c:pt>
                <c:pt idx="44">
                  <c:v>0.91322212602212605</c:v>
                </c:pt>
                <c:pt idx="45">
                  <c:v>0.912468906754621</c:v>
                </c:pt>
                <c:pt idx="46">
                  <c:v>0.91173998488284203</c:v>
                </c:pt>
                <c:pt idx="47">
                  <c:v>0.91101106301106205</c:v>
                </c:pt>
                <c:pt idx="48">
                  <c:v>0.910257843743558</c:v>
                </c:pt>
                <c:pt idx="49">
                  <c:v>0.90965040885040804</c:v>
                </c:pt>
                <c:pt idx="50">
                  <c:v>0.908702810417096</c:v>
                </c:pt>
                <c:pt idx="51">
                  <c:v>0.907960004319188</c:v>
                </c:pt>
                <c:pt idx="52">
                  <c:v>0.90719637188208602</c:v>
                </c:pt>
                <c:pt idx="53">
                  <c:v>0.90644315261458097</c:v>
                </c:pt>
                <c:pt idx="54">
                  <c:v>0.90573852813852795</c:v>
                </c:pt>
                <c:pt idx="55">
                  <c:v>0.90503390366247505</c:v>
                </c:pt>
                <c:pt idx="56">
                  <c:v>0.90459655053940702</c:v>
                </c:pt>
                <c:pt idx="57">
                  <c:v>0.90416729654824801</c:v>
                </c:pt>
                <c:pt idx="58">
                  <c:v>0.90273213037403499</c:v>
                </c:pt>
                <c:pt idx="59">
                  <c:v>0.90167114409400095</c:v>
                </c:pt>
                <c:pt idx="60">
                  <c:v>0.90033525013660998</c:v>
                </c:pt>
                <c:pt idx="61">
                  <c:v>0.89917707427367199</c:v>
                </c:pt>
                <c:pt idx="62">
                  <c:v>0.89859509379509295</c:v>
                </c:pt>
                <c:pt idx="63">
                  <c:v>0.89912477702191895</c:v>
                </c:pt>
                <c:pt idx="64">
                  <c:v>0.89662700474128998</c:v>
                </c:pt>
                <c:pt idx="65">
                  <c:v>0.89580089328660695</c:v>
                </c:pt>
                <c:pt idx="66">
                  <c:v>0.89497478183192403</c:v>
                </c:pt>
                <c:pt idx="67">
                  <c:v>0.89436734693877495</c:v>
                </c:pt>
                <c:pt idx="68">
                  <c:v>0.89259363705077899</c:v>
                </c:pt>
                <c:pt idx="69">
                  <c:v>0.89150025424311097</c:v>
                </c:pt>
                <c:pt idx="70">
                  <c:v>0.89040687143544195</c:v>
                </c:pt>
                <c:pt idx="71">
                  <c:v>0.88928919123204797</c:v>
                </c:pt>
                <c:pt idx="72">
                  <c:v>0.88817151102865299</c:v>
                </c:pt>
                <c:pt idx="73">
                  <c:v>0.88710242561671104</c:v>
                </c:pt>
                <c:pt idx="74">
                  <c:v>0.88591185322613897</c:v>
                </c:pt>
                <c:pt idx="75">
                  <c:v>0.88434467120181404</c:v>
                </c:pt>
                <c:pt idx="76">
                  <c:v>0.883166247509104</c:v>
                </c:pt>
                <c:pt idx="77">
                  <c:v>0.881538321995464</c:v>
                </c:pt>
                <c:pt idx="78">
                  <c:v>0.88003188346045402</c:v>
                </c:pt>
                <c:pt idx="79">
                  <c:v>0.87852544492544404</c:v>
                </c:pt>
                <c:pt idx="80">
                  <c:v>0.87692181680753101</c:v>
                </c:pt>
                <c:pt idx="81">
                  <c:v>0.87534248608534304</c:v>
                </c:pt>
                <c:pt idx="82">
                  <c:v>0.87405472411186602</c:v>
                </c:pt>
                <c:pt idx="83">
                  <c:v>0.87259688036830796</c:v>
                </c:pt>
                <c:pt idx="84">
                  <c:v>0.87104184704184695</c:v>
                </c:pt>
                <c:pt idx="85">
                  <c:v>0.86924383975812503</c:v>
                </c:pt>
                <c:pt idx="86">
                  <c:v>0.86732434549577397</c:v>
                </c:pt>
                <c:pt idx="87">
                  <c:v>0.86545344602487395</c:v>
                </c:pt>
                <c:pt idx="88">
                  <c:v>0.86348535697107098</c:v>
                </c:pt>
                <c:pt idx="89">
                  <c:v>0.86129859135573394</c:v>
                </c:pt>
                <c:pt idx="90">
                  <c:v>0.85913612313612298</c:v>
                </c:pt>
                <c:pt idx="91">
                  <c:v>0.85687646533360795</c:v>
                </c:pt>
                <c:pt idx="92">
                  <c:v>0.85458981042473103</c:v>
                </c:pt>
                <c:pt idx="93">
                  <c:v>0.85103699122746701</c:v>
                </c:pt>
                <c:pt idx="94">
                  <c:v>0.84878543255686101</c:v>
                </c:pt>
                <c:pt idx="95">
                  <c:v>0.846841640898783</c:v>
                </c:pt>
                <c:pt idx="96">
                  <c:v>0.84470347007489799</c:v>
                </c:pt>
                <c:pt idx="97">
                  <c:v>0.84198216175358997</c:v>
                </c:pt>
                <c:pt idx="98">
                  <c:v>0.83940663780663705</c:v>
                </c:pt>
                <c:pt idx="99">
                  <c:v>0.83668532948532903</c:v>
                </c:pt>
                <c:pt idx="100">
                  <c:v>0.83556764928193406</c:v>
                </c:pt>
                <c:pt idx="101">
                  <c:v>0.829479801797262</c:v>
                </c:pt>
                <c:pt idx="102">
                  <c:v>0.82752521129663903</c:v>
                </c:pt>
                <c:pt idx="103">
                  <c:v>0.82456092901807099</c:v>
                </c:pt>
                <c:pt idx="104">
                  <c:v>0.82166953892668104</c:v>
                </c:pt>
                <c:pt idx="105">
                  <c:v>0.81503786848072501</c:v>
                </c:pt>
                <c:pt idx="106">
                  <c:v>0.81154292433022501</c:v>
                </c:pt>
                <c:pt idx="107">
                  <c:v>0.80751900562694201</c:v>
                </c:pt>
                <c:pt idx="108">
                  <c:v>0.80467422524565302</c:v>
                </c:pt>
                <c:pt idx="109">
                  <c:v>0.80060964721489503</c:v>
                </c:pt>
                <c:pt idx="110">
                  <c:v>0.79645330495009703</c:v>
                </c:pt>
                <c:pt idx="111">
                  <c:v>0.787244988662131</c:v>
                </c:pt>
                <c:pt idx="112">
                  <c:v>0.793516956412194</c:v>
                </c:pt>
                <c:pt idx="113">
                  <c:v>0.78315930057949101</c:v>
                </c:pt>
                <c:pt idx="114">
                  <c:v>0.79071060720584496</c:v>
                </c:pt>
                <c:pt idx="115">
                  <c:v>0.78217346170919799</c:v>
                </c:pt>
                <c:pt idx="116">
                  <c:v>0.78020429759205201</c:v>
                </c:pt>
                <c:pt idx="117">
                  <c:v>0.77589053795486396</c:v>
                </c:pt>
                <c:pt idx="118">
                  <c:v>0.76982710214690098</c:v>
                </c:pt>
                <c:pt idx="119">
                  <c:v>0.77186797682035702</c:v>
                </c:pt>
                <c:pt idx="120">
                  <c:v>0.765338170823885</c:v>
                </c:pt>
                <c:pt idx="121">
                  <c:v>0.76305693121693097</c:v>
                </c:pt>
                <c:pt idx="122">
                  <c:v>0.75822343159486005</c:v>
                </c:pt>
                <c:pt idx="123">
                  <c:v>0.75429679444264397</c:v>
                </c:pt>
                <c:pt idx="124">
                  <c:v>0.74628231292517</c:v>
                </c:pt>
                <c:pt idx="125">
                  <c:v>0.75446988446172103</c:v>
                </c:pt>
                <c:pt idx="126">
                  <c:v>0.74198047499701603</c:v>
                </c:pt>
                <c:pt idx="127">
                  <c:v>0.73473210716385295</c:v>
                </c:pt>
                <c:pt idx="128">
                  <c:v>0.73970632401108505</c:v>
                </c:pt>
                <c:pt idx="129">
                  <c:v>0.72991850502105504</c:v>
                </c:pt>
                <c:pt idx="130">
                  <c:v>0.72355281855432196</c:v>
                </c:pt>
                <c:pt idx="131">
                  <c:v>0.71598280963178895</c:v>
                </c:pt>
                <c:pt idx="132">
                  <c:v>0.70977976460425396</c:v>
                </c:pt>
                <c:pt idx="133">
                  <c:v>0.70478408209074805</c:v>
                </c:pt>
                <c:pt idx="134">
                  <c:v>0.69355747039556503</c:v>
                </c:pt>
                <c:pt idx="135">
                  <c:v>0.68801477162293401</c:v>
                </c:pt>
                <c:pt idx="136">
                  <c:v>0.68184843969333697</c:v>
                </c:pt>
                <c:pt idx="137">
                  <c:v>0.67296731731525306</c:v>
                </c:pt>
                <c:pt idx="138">
                  <c:v>0.66561870496346598</c:v>
                </c:pt>
                <c:pt idx="139">
                  <c:v>0.65931110103300505</c:v>
                </c:pt>
                <c:pt idx="140">
                  <c:v>0.653920318834604</c:v>
                </c:pt>
                <c:pt idx="141">
                  <c:v>0.64776497858402604</c:v>
                </c:pt>
                <c:pt idx="142">
                  <c:v>0.63998341431810801</c:v>
                </c:pt>
                <c:pt idx="143">
                  <c:v>0.63227883093978299</c:v>
                </c:pt>
                <c:pt idx="144">
                  <c:v>0.62729037311894398</c:v>
                </c:pt>
                <c:pt idx="145">
                  <c:v>0.62059239103048602</c:v>
                </c:pt>
                <c:pt idx="146">
                  <c:v>0.612780272108843</c:v>
                </c:pt>
                <c:pt idx="147">
                  <c:v>0.60621064679840098</c:v>
                </c:pt>
                <c:pt idx="148">
                  <c:v>0.60029440449195504</c:v>
                </c:pt>
                <c:pt idx="149">
                  <c:v>0.59361071158622103</c:v>
                </c:pt>
                <c:pt idx="150">
                  <c:v>0.58751927437641704</c:v>
                </c:pt>
                <c:pt idx="151">
                  <c:v>0.58135147392290198</c:v>
                </c:pt>
                <c:pt idx="152">
                  <c:v>0.57383038548752796</c:v>
                </c:pt>
                <c:pt idx="153">
                  <c:v>0.56572380952380896</c:v>
                </c:pt>
                <c:pt idx="154">
                  <c:v>0.55862107331821598</c:v>
                </c:pt>
                <c:pt idx="155">
                  <c:v>0.551766591080876</c:v>
                </c:pt>
                <c:pt idx="156">
                  <c:v>0.54529040060468603</c:v>
                </c:pt>
                <c:pt idx="157">
                  <c:v>0.53892317460317396</c:v>
                </c:pt>
                <c:pt idx="158">
                  <c:v>0.53283829680020101</c:v>
                </c:pt>
                <c:pt idx="159">
                  <c:v>0.52684696397077302</c:v>
                </c:pt>
                <c:pt idx="160">
                  <c:v>0.52023199798437803</c:v>
                </c:pt>
                <c:pt idx="161">
                  <c:v>0.51298894431846798</c:v>
                </c:pt>
                <c:pt idx="162">
                  <c:v>0.50569312169312097</c:v>
                </c:pt>
                <c:pt idx="163">
                  <c:v>0.49862540978295999</c:v>
                </c:pt>
                <c:pt idx="164">
                  <c:v>0.49150032753842199</c:v>
                </c:pt>
                <c:pt idx="165">
                  <c:v>0.48433490983694999</c:v>
                </c:pt>
                <c:pt idx="166">
                  <c:v>0.47648858654572901</c:v>
                </c:pt>
                <c:pt idx="167">
                  <c:v>0.47294724111866898</c:v>
                </c:pt>
                <c:pt idx="168">
                  <c:v>0.46278578987150398</c:v>
                </c:pt>
                <c:pt idx="169">
                  <c:v>0.45655257335257299</c:v>
                </c:pt>
                <c:pt idx="170">
                  <c:v>0.44946448307718101</c:v>
                </c:pt>
                <c:pt idx="171">
                  <c:v>0.44668783068783002</c:v>
                </c:pt>
                <c:pt idx="172">
                  <c:v>0.43460122616947999</c:v>
                </c:pt>
                <c:pt idx="173">
                  <c:v>0.426731569664903</c:v>
                </c:pt>
                <c:pt idx="174">
                  <c:v>0.41887379188712498</c:v>
                </c:pt>
                <c:pt idx="175">
                  <c:v>0.41201544698687498</c:v>
                </c:pt>
                <c:pt idx="176">
                  <c:v>0.40635658352229698</c:v>
                </c:pt>
                <c:pt idx="177">
                  <c:v>0.39876225893532002</c:v>
                </c:pt>
                <c:pt idx="178">
                  <c:v>0.39170282415996699</c:v>
                </c:pt>
                <c:pt idx="179">
                  <c:v>0.385458393458393</c:v>
                </c:pt>
                <c:pt idx="180">
                  <c:v>0.37891227009322198</c:v>
                </c:pt>
                <c:pt idx="181">
                  <c:v>0.372475485008818</c:v>
                </c:pt>
                <c:pt idx="182">
                  <c:v>0.366016427311665</c:v>
                </c:pt>
                <c:pt idx="183">
                  <c:v>0.35916674225245598</c:v>
                </c:pt>
                <c:pt idx="184">
                  <c:v>0.35247467876039301</c:v>
                </c:pt>
                <c:pt idx="185">
                  <c:v>0.34606016628873698</c:v>
                </c:pt>
                <c:pt idx="186">
                  <c:v>0.339645653817082</c:v>
                </c:pt>
                <c:pt idx="187">
                  <c:v>0.33323114134542697</c:v>
                </c:pt>
                <c:pt idx="188">
                  <c:v>0.326816628873771</c:v>
                </c:pt>
                <c:pt idx="189">
                  <c:v>0.32040211640211602</c:v>
                </c:pt>
                <c:pt idx="190">
                  <c:v>0.31398760393046099</c:v>
                </c:pt>
                <c:pt idx="191">
                  <c:v>0.30750113378684801</c:v>
                </c:pt>
                <c:pt idx="192">
                  <c:v>0.30070803584925998</c:v>
                </c:pt>
                <c:pt idx="193">
                  <c:v>0.29470130309901699</c:v>
                </c:pt>
                <c:pt idx="194">
                  <c:v>0.28868186628186598</c:v>
                </c:pt>
                <c:pt idx="195">
                  <c:v>0.282336507936507</c:v>
                </c:pt>
                <c:pt idx="196">
                  <c:v>0.27602292310863702</c:v>
                </c:pt>
                <c:pt idx="197">
                  <c:v>0.26904147140337598</c:v>
                </c:pt>
                <c:pt idx="198">
                  <c:v>0.25986515495086898</c:v>
                </c:pt>
                <c:pt idx="199">
                  <c:v>0.24461286974048799</c:v>
                </c:pt>
                <c:pt idx="200">
                  <c:v>0.23731717171717101</c:v>
                </c:pt>
                <c:pt idx="201">
                  <c:v>0.23083948601662799</c:v>
                </c:pt>
                <c:pt idx="202">
                  <c:v>0.218365203050917</c:v>
                </c:pt>
                <c:pt idx="203">
                  <c:v>0.21186767447719801</c:v>
                </c:pt>
                <c:pt idx="204">
                  <c:v>0.20471816578483201</c:v>
                </c:pt>
                <c:pt idx="205">
                  <c:v>0.195419349962207</c:v>
                </c:pt>
                <c:pt idx="206">
                  <c:v>0.18710052910052899</c:v>
                </c:pt>
                <c:pt idx="207">
                  <c:v>0.1801960191484</c:v>
                </c:pt>
                <c:pt idx="208">
                  <c:v>0.17358510272795899</c:v>
                </c:pt>
                <c:pt idx="209">
                  <c:v>0.166551816578483</c:v>
                </c:pt>
                <c:pt idx="210">
                  <c:v>0.15792471655328799</c:v>
                </c:pt>
                <c:pt idx="211">
                  <c:v>0.14955844941151</c:v>
                </c:pt>
                <c:pt idx="212">
                  <c:v>0.14311616848759701</c:v>
                </c:pt>
                <c:pt idx="213">
                  <c:v>0.13627888133030899</c:v>
                </c:pt>
                <c:pt idx="214">
                  <c:v>0.12851156462585001</c:v>
                </c:pt>
                <c:pt idx="215">
                  <c:v>0.120776400436717</c:v>
                </c:pt>
                <c:pt idx="216">
                  <c:v>0.11258082136558301</c:v>
                </c:pt>
                <c:pt idx="217">
                  <c:v>0.10510958705477599</c:v>
                </c:pt>
                <c:pt idx="218">
                  <c:v>9.6773629917575599E-2</c:v>
                </c:pt>
                <c:pt idx="219">
                  <c:v>8.8926033905625798E-2</c:v>
                </c:pt>
                <c:pt idx="220">
                  <c:v>8.1556980887593097E-2</c:v>
                </c:pt>
                <c:pt idx="221">
                  <c:v>7.49862708719852E-2</c:v>
                </c:pt>
                <c:pt idx="222">
                  <c:v>6.8416628873771701E-2</c:v>
                </c:pt>
                <c:pt idx="223">
                  <c:v>6.1393902746283598E-2</c:v>
                </c:pt>
                <c:pt idx="224">
                  <c:v>5.5291206853111702E-2</c:v>
                </c:pt>
                <c:pt idx="225">
                  <c:v>4.8881148904006001E-2</c:v>
                </c:pt>
                <c:pt idx="226">
                  <c:v>4.22840010078104E-2</c:v>
                </c:pt>
                <c:pt idx="227">
                  <c:v>1.17078265649683E-3</c:v>
                </c:pt>
                <c:pt idx="228">
                  <c:v>3.5480574452002998E-2</c:v>
                </c:pt>
                <c:pt idx="229">
                  <c:v>2.8163164525069301E-2</c:v>
                </c:pt>
                <c:pt idx="230">
                  <c:v>2.2207467876039302E-2</c:v>
                </c:pt>
                <c:pt idx="231">
                  <c:v>1.6351255563954E-2</c:v>
                </c:pt>
                <c:pt idx="232">
                  <c:v>8.8273548572867996E-3</c:v>
                </c:pt>
                <c:pt idx="233">
                  <c:v>1.3469387755102799E-3</c:v>
                </c:pt>
                <c:pt idx="234">
                  <c:v>1.6275736961453E-3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45B-4039-BF8A-880E8077B598}"/>
            </c:ext>
          </c:extLst>
        </c:ser>
        <c:ser>
          <c:idx val="2"/>
          <c:order val="2"/>
          <c:tx>
            <c:v>MYLAR</c:v>
          </c:tx>
          <c:spPr>
            <a:ln w="19050" cap="rnd">
              <a:solidFill>
                <a:srgbClr val="FF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TRANSMITTANCE!$E$3:$E$122</c:f>
              <c:numCache>
                <c:formatCode>General</c:formatCode>
                <c:ptCount val="120"/>
                <c:pt idx="0">
                  <c:v>0.127925600619997</c:v>
                </c:pt>
                <c:pt idx="1">
                  <c:v>0.75973477998794703</c:v>
                </c:pt>
                <c:pt idx="2">
                  <c:v>1.3458710066305</c:v>
                </c:pt>
                <c:pt idx="3">
                  <c:v>2.6779987944544899</c:v>
                </c:pt>
                <c:pt idx="4">
                  <c:v>3.2641350210970401</c:v>
                </c:pt>
                <c:pt idx="5">
                  <c:v>3.8502712477396002</c:v>
                </c:pt>
                <c:pt idx="6">
                  <c:v>4.4364074743821602</c:v>
                </c:pt>
                <c:pt idx="7">
                  <c:v>4.8626883664858296</c:v>
                </c:pt>
                <c:pt idx="8">
                  <c:v>6.0349608197709399</c:v>
                </c:pt>
                <c:pt idx="9">
                  <c:v>6.6210970464135004</c:v>
                </c:pt>
                <c:pt idx="10">
                  <c:v>7.2072332730560502</c:v>
                </c:pt>
                <c:pt idx="11">
                  <c:v>7.7933694996986098</c:v>
                </c:pt>
                <c:pt idx="12">
                  <c:v>8.2196503918022898</c:v>
                </c:pt>
                <c:pt idx="13">
                  <c:v>9.2320675105485197</c:v>
                </c:pt>
                <c:pt idx="14">
                  <c:v>9.8182037371910802</c:v>
                </c:pt>
                <c:pt idx="15">
                  <c:v>10.4043399638336</c:v>
                </c:pt>
                <c:pt idx="16">
                  <c:v>10.9904761904761</c:v>
                </c:pt>
                <c:pt idx="17">
                  <c:v>11.496684749849299</c:v>
                </c:pt>
                <c:pt idx="18">
                  <c:v>12.748884870403799</c:v>
                </c:pt>
                <c:pt idx="19">
                  <c:v>13.3350210970464</c:v>
                </c:pt>
                <c:pt idx="20">
                  <c:v>13.921157323688901</c:v>
                </c:pt>
                <c:pt idx="21">
                  <c:v>14.5072935503315</c:v>
                </c:pt>
                <c:pt idx="22">
                  <c:v>14.9513361462728</c:v>
                </c:pt>
                <c:pt idx="23">
                  <c:v>16.212417118746199</c:v>
                </c:pt>
                <c:pt idx="24">
                  <c:v>16.798553345388701</c:v>
                </c:pt>
                <c:pt idx="25">
                  <c:v>17.384689572031299</c:v>
                </c:pt>
                <c:pt idx="26">
                  <c:v>17.9708257986739</c:v>
                </c:pt>
                <c:pt idx="27">
                  <c:v>18.5036769138034</c:v>
                </c:pt>
                <c:pt idx="28">
                  <c:v>19.7825195901145</c:v>
                </c:pt>
                <c:pt idx="29">
                  <c:v>20.368655816756998</c:v>
                </c:pt>
                <c:pt idx="30">
                  <c:v>20.9547920433996</c:v>
                </c:pt>
                <c:pt idx="31">
                  <c:v>21.540928270042102</c:v>
                </c:pt>
                <c:pt idx="32">
                  <c:v>22.1004219409282</c:v>
                </c:pt>
                <c:pt idx="33">
                  <c:v>23.459192284508699</c:v>
                </c:pt>
                <c:pt idx="34">
                  <c:v>24.045328511151201</c:v>
                </c:pt>
                <c:pt idx="35">
                  <c:v>24.631464737793799</c:v>
                </c:pt>
                <c:pt idx="36">
                  <c:v>25.2176009644364</c:v>
                </c:pt>
                <c:pt idx="37">
                  <c:v>25.7238095238095</c:v>
                </c:pt>
                <c:pt idx="38">
                  <c:v>27.1891500904159</c:v>
                </c:pt>
                <c:pt idx="39">
                  <c:v>27.775286317058399</c:v>
                </c:pt>
                <c:pt idx="40">
                  <c:v>28.361422543701</c:v>
                </c:pt>
                <c:pt idx="41">
                  <c:v>28.947558770343498</c:v>
                </c:pt>
                <c:pt idx="42">
                  <c:v>29.3205545509343</c:v>
                </c:pt>
                <c:pt idx="43">
                  <c:v>30.4928270042194</c:v>
                </c:pt>
                <c:pt idx="44">
                  <c:v>31.078963230861898</c:v>
                </c:pt>
                <c:pt idx="45">
                  <c:v>31.6650994575045</c:v>
                </c:pt>
                <c:pt idx="46">
                  <c:v>32.251235684146998</c:v>
                </c:pt>
                <c:pt idx="47">
                  <c:v>32.837371910789599</c:v>
                </c:pt>
                <c:pt idx="48">
                  <c:v>33.183725135623803</c:v>
                </c:pt>
                <c:pt idx="49">
                  <c:v>34.276069921639497</c:v>
                </c:pt>
                <c:pt idx="50">
                  <c:v>34.862206148282098</c:v>
                </c:pt>
                <c:pt idx="51">
                  <c:v>35.4483423749246</c:v>
                </c:pt>
                <c:pt idx="52">
                  <c:v>36.034478601567201</c:v>
                </c:pt>
                <c:pt idx="53">
                  <c:v>36.620614828209703</c:v>
                </c:pt>
                <c:pt idx="54">
                  <c:v>36.966968053043999</c:v>
                </c:pt>
                <c:pt idx="55">
                  <c:v>38.006027727546702</c:v>
                </c:pt>
                <c:pt idx="56">
                  <c:v>38.603582192370602</c:v>
                </c:pt>
                <c:pt idx="57">
                  <c:v>39.178300180831798</c:v>
                </c:pt>
                <c:pt idx="58">
                  <c:v>39.7644364074743</c:v>
                </c:pt>
                <c:pt idx="59">
                  <c:v>40.323930078360398</c:v>
                </c:pt>
                <c:pt idx="60">
                  <c:v>41.416274864376099</c:v>
                </c:pt>
                <c:pt idx="61">
                  <c:v>42.002411091018601</c:v>
                </c:pt>
                <c:pt idx="62">
                  <c:v>42.588547317661202</c:v>
                </c:pt>
                <c:pt idx="63">
                  <c:v>43.174683544303697</c:v>
                </c:pt>
                <c:pt idx="64">
                  <c:v>43.680892103676896</c:v>
                </c:pt>
                <c:pt idx="65">
                  <c:v>44.506811332127697</c:v>
                </c:pt>
                <c:pt idx="66">
                  <c:v>45.138620511495702</c:v>
                </c:pt>
                <c:pt idx="67">
                  <c:v>45.679083785412899</c:v>
                </c:pt>
                <c:pt idx="68">
                  <c:v>46.265220012055401</c:v>
                </c:pt>
                <c:pt idx="69">
                  <c:v>46.691500904159099</c:v>
                </c:pt>
                <c:pt idx="70">
                  <c:v>47.703918022905299</c:v>
                </c:pt>
                <c:pt idx="71">
                  <c:v>48.2900542495479</c:v>
                </c:pt>
                <c:pt idx="72">
                  <c:v>48.876190476190402</c:v>
                </c:pt>
                <c:pt idx="73">
                  <c:v>49.462326702833003</c:v>
                </c:pt>
                <c:pt idx="74">
                  <c:v>49.995177817962599</c:v>
                </c:pt>
                <c:pt idx="75">
                  <c:v>51.433875828812504</c:v>
                </c:pt>
                <c:pt idx="76">
                  <c:v>52.020012055455098</c:v>
                </c:pt>
                <c:pt idx="77">
                  <c:v>52.6061482820976</c:v>
                </c:pt>
                <c:pt idx="78">
                  <c:v>53.192284508740201</c:v>
                </c:pt>
                <c:pt idx="79">
                  <c:v>53.698493068113301</c:v>
                </c:pt>
                <c:pt idx="80">
                  <c:v>54.950693188667799</c:v>
                </c:pt>
                <c:pt idx="81">
                  <c:v>55.514627285513299</c:v>
                </c:pt>
                <c:pt idx="82">
                  <c:v>56.122965641952902</c:v>
                </c:pt>
                <c:pt idx="83">
                  <c:v>56.709101868595504</c:v>
                </c:pt>
                <c:pt idx="84">
                  <c:v>57.028812537673303</c:v>
                </c:pt>
                <c:pt idx="85">
                  <c:v>58.041229656419503</c:v>
                </c:pt>
                <c:pt idx="86">
                  <c:v>58.627365883061998</c:v>
                </c:pt>
                <c:pt idx="87">
                  <c:v>59.231263813542199</c:v>
                </c:pt>
                <c:pt idx="88">
                  <c:v>59.717288618554399</c:v>
                </c:pt>
                <c:pt idx="89">
                  <c:v>61.344906570223003</c:v>
                </c:pt>
                <c:pt idx="90">
                  <c:v>61.913281093027898</c:v>
                </c:pt>
                <c:pt idx="91">
                  <c:v>62.517179023508099</c:v>
                </c:pt>
                <c:pt idx="92">
                  <c:v>63.078722121760002</c:v>
                </c:pt>
                <c:pt idx="93">
                  <c:v>63.582881253767297</c:v>
                </c:pt>
                <c:pt idx="94">
                  <c:v>64.611693791440601</c:v>
                </c:pt>
                <c:pt idx="95">
                  <c:v>65.174773960216996</c:v>
                </c:pt>
                <c:pt idx="96">
                  <c:v>65.689210367691302</c:v>
                </c:pt>
                <c:pt idx="97">
                  <c:v>66.280790584054998</c:v>
                </c:pt>
                <c:pt idx="98">
                  <c:v>66.716045810729298</c:v>
                </c:pt>
                <c:pt idx="99">
                  <c:v>66.815511352220199</c:v>
                </c:pt>
                <c:pt idx="100">
                  <c:v>67.472694394213306</c:v>
                </c:pt>
                <c:pt idx="101">
                  <c:v>67.735567611010595</c:v>
                </c:pt>
                <c:pt idx="102">
                  <c:v>68.226298114182299</c:v>
                </c:pt>
                <c:pt idx="103">
                  <c:v>68.477499354171997</c:v>
                </c:pt>
                <c:pt idx="104">
                  <c:v>68.955796664657399</c:v>
                </c:pt>
                <c:pt idx="105">
                  <c:v>69.137854128993297</c:v>
                </c:pt>
                <c:pt idx="106">
                  <c:v>69.604098854731703</c:v>
                </c:pt>
                <c:pt idx="107">
                  <c:v>70.190235081374297</c:v>
                </c:pt>
                <c:pt idx="108">
                  <c:v>70.753534831654093</c:v>
                </c:pt>
                <c:pt idx="109">
                  <c:v>71.294690120006507</c:v>
                </c:pt>
                <c:pt idx="110">
                  <c:v>71.596962025316401</c:v>
                </c:pt>
                <c:pt idx="111">
                  <c:v>72.080289330922199</c:v>
                </c:pt>
                <c:pt idx="112">
                  <c:v>72.428209764918606</c:v>
                </c:pt>
                <c:pt idx="113">
                  <c:v>72.808310227044402</c:v>
                </c:pt>
                <c:pt idx="114">
                  <c:v>73.227486437612995</c:v>
                </c:pt>
                <c:pt idx="115">
                  <c:v>73.6537673297167</c:v>
                </c:pt>
                <c:pt idx="116">
                  <c:v>74.000120554550904</c:v>
                </c:pt>
                <c:pt idx="117">
                  <c:v>74.515732368896906</c:v>
                </c:pt>
                <c:pt idx="118">
                  <c:v>74.943267028330297</c:v>
                </c:pt>
                <c:pt idx="119">
                  <c:v>75.065822784810095</c:v>
                </c:pt>
              </c:numCache>
            </c:numRef>
          </c:xVal>
          <c:yVal>
            <c:numRef>
              <c:f>TRANSMITTANCE!$F$3:$F$122</c:f>
              <c:numCache>
                <c:formatCode>General</c:formatCode>
                <c:ptCount val="120"/>
                <c:pt idx="0">
                  <c:v>0.86926293056905302</c:v>
                </c:pt>
                <c:pt idx="1">
                  <c:v>0.869778382464096</c:v>
                </c:pt>
                <c:pt idx="2">
                  <c:v>0.869778382464096</c:v>
                </c:pt>
                <c:pt idx="3">
                  <c:v>0.87031292517006797</c:v>
                </c:pt>
                <c:pt idx="4">
                  <c:v>0.87031292517006797</c:v>
                </c:pt>
                <c:pt idx="5">
                  <c:v>0.87031292517006797</c:v>
                </c:pt>
                <c:pt idx="6">
                  <c:v>0.87031292517006797</c:v>
                </c:pt>
                <c:pt idx="7">
                  <c:v>0.87031292517006797</c:v>
                </c:pt>
                <c:pt idx="8">
                  <c:v>0.87031292517006797</c:v>
                </c:pt>
                <c:pt idx="9">
                  <c:v>0.87031292517006797</c:v>
                </c:pt>
                <c:pt idx="10">
                  <c:v>0.87031292517006797</c:v>
                </c:pt>
                <c:pt idx="11">
                  <c:v>0.87031292517006797</c:v>
                </c:pt>
                <c:pt idx="12">
                  <c:v>0.87031292517006797</c:v>
                </c:pt>
                <c:pt idx="13">
                  <c:v>0.87028862777434202</c:v>
                </c:pt>
                <c:pt idx="14">
                  <c:v>0.87031292517006797</c:v>
                </c:pt>
                <c:pt idx="15">
                  <c:v>0.87031292517006797</c:v>
                </c:pt>
                <c:pt idx="16">
                  <c:v>0.87031292517006797</c:v>
                </c:pt>
                <c:pt idx="17">
                  <c:v>0.87031292517006797</c:v>
                </c:pt>
                <c:pt idx="18">
                  <c:v>0.869778382464096</c:v>
                </c:pt>
                <c:pt idx="19">
                  <c:v>0.86936532673675504</c:v>
                </c:pt>
                <c:pt idx="20">
                  <c:v>0.86924383975812503</c:v>
                </c:pt>
                <c:pt idx="21">
                  <c:v>0.86883078403078395</c:v>
                </c:pt>
                <c:pt idx="22">
                  <c:v>0.86870929705215405</c:v>
                </c:pt>
                <c:pt idx="23">
                  <c:v>0.86853921528207201</c:v>
                </c:pt>
                <c:pt idx="24">
                  <c:v>0.86844202569916795</c:v>
                </c:pt>
                <c:pt idx="25">
                  <c:v>0.86832053872053805</c:v>
                </c:pt>
                <c:pt idx="26">
                  <c:v>0.86817475434618196</c:v>
                </c:pt>
                <c:pt idx="27">
                  <c:v>0.86814505752918403</c:v>
                </c:pt>
                <c:pt idx="28">
                  <c:v>0.86773740122311505</c:v>
                </c:pt>
                <c:pt idx="29">
                  <c:v>0.86764021164021099</c:v>
                </c:pt>
                <c:pt idx="30">
                  <c:v>0.86744583247440299</c:v>
                </c:pt>
                <c:pt idx="31">
                  <c:v>0.86732434549577397</c:v>
                </c:pt>
                <c:pt idx="32">
                  <c:v>0.86747984882842</c:v>
                </c:pt>
                <c:pt idx="33">
                  <c:v>0.86596369133511897</c:v>
                </c:pt>
                <c:pt idx="34">
                  <c:v>0.86591509654366705</c:v>
                </c:pt>
                <c:pt idx="35">
                  <c:v>0.86576931216931197</c:v>
                </c:pt>
                <c:pt idx="36">
                  <c:v>0.86533195904624405</c:v>
                </c:pt>
                <c:pt idx="37">
                  <c:v>0.86493408919123205</c:v>
                </c:pt>
                <c:pt idx="38">
                  <c:v>0.86479741634027296</c:v>
                </c:pt>
                <c:pt idx="39">
                  <c:v>0.86411708925994601</c:v>
                </c:pt>
                <c:pt idx="40">
                  <c:v>0.86353395176252301</c:v>
                </c:pt>
                <c:pt idx="41">
                  <c:v>0.86287792207792202</c:v>
                </c:pt>
                <c:pt idx="42">
                  <c:v>0.86282932728646999</c:v>
                </c:pt>
                <c:pt idx="43">
                  <c:v>0.86207610801896495</c:v>
                </c:pt>
                <c:pt idx="44">
                  <c:v>0.86151726791726702</c:v>
                </c:pt>
                <c:pt idx="45">
                  <c:v>0.86120140177283</c:v>
                </c:pt>
                <c:pt idx="46">
                  <c:v>0.86073975125403601</c:v>
                </c:pt>
                <c:pt idx="47">
                  <c:v>0.860229505943791</c:v>
                </c:pt>
                <c:pt idx="48">
                  <c:v>0.86015661375661301</c:v>
                </c:pt>
                <c:pt idx="49">
                  <c:v>0.85950058407201202</c:v>
                </c:pt>
                <c:pt idx="50">
                  <c:v>0.85896604136604104</c:v>
                </c:pt>
                <c:pt idx="51">
                  <c:v>0.85813992991135801</c:v>
                </c:pt>
                <c:pt idx="52">
                  <c:v>0.857629684601113</c:v>
                </c:pt>
                <c:pt idx="53">
                  <c:v>0.85711943929086698</c:v>
                </c:pt>
                <c:pt idx="54">
                  <c:v>0.85694935752078605</c:v>
                </c:pt>
                <c:pt idx="55">
                  <c:v>0.85571019033876095</c:v>
                </c:pt>
                <c:pt idx="56">
                  <c:v>0.85442937047834999</c:v>
                </c:pt>
                <c:pt idx="57">
                  <c:v>0.85456821273964101</c:v>
                </c:pt>
                <c:pt idx="58">
                  <c:v>0.85396077784649205</c:v>
                </c:pt>
                <c:pt idx="59">
                  <c:v>0.85376882842025603</c:v>
                </c:pt>
                <c:pt idx="60">
                  <c:v>0.85221136535422204</c:v>
                </c:pt>
                <c:pt idx="61">
                  <c:v>0.85157963306534701</c:v>
                </c:pt>
                <c:pt idx="62">
                  <c:v>0.85063203463203396</c:v>
                </c:pt>
                <c:pt idx="63">
                  <c:v>0.84973303099017305</c:v>
                </c:pt>
                <c:pt idx="64">
                  <c:v>0.84899803476946301</c:v>
                </c:pt>
                <c:pt idx="65">
                  <c:v>0.84834807943379298</c:v>
                </c:pt>
                <c:pt idx="66">
                  <c:v>0.84740395205701302</c:v>
                </c:pt>
                <c:pt idx="67">
                  <c:v>0.84667155912870196</c:v>
                </c:pt>
                <c:pt idx="68">
                  <c:v>0.84569966329966295</c:v>
                </c:pt>
                <c:pt idx="69">
                  <c:v>0.84518941798941705</c:v>
                </c:pt>
                <c:pt idx="70">
                  <c:v>0.84448479351336403</c:v>
                </c:pt>
                <c:pt idx="71">
                  <c:v>0.84375587164158505</c:v>
                </c:pt>
                <c:pt idx="72">
                  <c:v>0.84273538102109502</c:v>
                </c:pt>
                <c:pt idx="73">
                  <c:v>0.84130183467326303</c:v>
                </c:pt>
                <c:pt idx="74">
                  <c:v>0.84020035273368598</c:v>
                </c:pt>
                <c:pt idx="75">
                  <c:v>0.83828895760324296</c:v>
                </c:pt>
                <c:pt idx="76">
                  <c:v>0.83729276437847799</c:v>
                </c:pt>
                <c:pt idx="77">
                  <c:v>0.83561624407338597</c:v>
                </c:pt>
                <c:pt idx="78">
                  <c:v>0.83376964199821302</c:v>
                </c:pt>
                <c:pt idx="79">
                  <c:v>0.83219334845049098</c:v>
                </c:pt>
                <c:pt idx="80">
                  <c:v>0.82917743420600498</c:v>
                </c:pt>
                <c:pt idx="81">
                  <c:v>0.82741587301587205</c:v>
                </c:pt>
                <c:pt idx="82">
                  <c:v>0.82572720401291799</c:v>
                </c:pt>
                <c:pt idx="83">
                  <c:v>0.82329746444032104</c:v>
                </c:pt>
                <c:pt idx="84">
                  <c:v>0.82300589569160998</c:v>
                </c:pt>
                <c:pt idx="85">
                  <c:v>0.81821930873359405</c:v>
                </c:pt>
                <c:pt idx="86">
                  <c:v>0.81654278842850203</c:v>
                </c:pt>
                <c:pt idx="87">
                  <c:v>0.81411912320483704</c:v>
                </c:pt>
                <c:pt idx="88">
                  <c:v>0.81163471449185698</c:v>
                </c:pt>
                <c:pt idx="89">
                  <c:v>0.805123012437298</c:v>
                </c:pt>
                <c:pt idx="90">
                  <c:v>0.80273781809019895</c:v>
                </c:pt>
                <c:pt idx="91">
                  <c:v>0.800596754719203</c:v>
                </c:pt>
                <c:pt idx="92">
                  <c:v>0.79598799265737996</c:v>
                </c:pt>
                <c:pt idx="93">
                  <c:v>0.79505694849368302</c:v>
                </c:pt>
                <c:pt idx="94">
                  <c:v>0.78842509448223697</c:v>
                </c:pt>
                <c:pt idx="95">
                  <c:v>0.78468586545729402</c:v>
                </c:pt>
                <c:pt idx="96">
                  <c:v>0.78126439909296996</c:v>
                </c:pt>
                <c:pt idx="97">
                  <c:v>0.77950872222127499</c:v>
                </c:pt>
                <c:pt idx="98">
                  <c:v>0.78043625094482205</c:v>
                </c:pt>
                <c:pt idx="99">
                  <c:v>0.77685704207608897</c:v>
                </c:pt>
                <c:pt idx="100">
                  <c:v>0.77453316972772701</c:v>
                </c:pt>
                <c:pt idx="101">
                  <c:v>0.76923089947089895</c:v>
                </c:pt>
                <c:pt idx="102">
                  <c:v>0.76886435590109004</c:v>
                </c:pt>
                <c:pt idx="103">
                  <c:v>0.762946204513551</c:v>
                </c:pt>
                <c:pt idx="104">
                  <c:v>0.76082076089695105</c:v>
                </c:pt>
                <c:pt idx="105">
                  <c:v>0.75621033005794902</c:v>
                </c:pt>
                <c:pt idx="106">
                  <c:v>0.752937952944846</c:v>
                </c:pt>
                <c:pt idx="107">
                  <c:v>0.747100831443688</c:v>
                </c:pt>
                <c:pt idx="108">
                  <c:v>0.74446629953568699</c:v>
                </c:pt>
                <c:pt idx="109">
                  <c:v>0.73876682470968102</c:v>
                </c:pt>
                <c:pt idx="110">
                  <c:v>0.73379071806500296</c:v>
                </c:pt>
                <c:pt idx="111">
                  <c:v>0.72975963718820802</c:v>
                </c:pt>
                <c:pt idx="112">
                  <c:v>0.72919365079364995</c:v>
                </c:pt>
                <c:pt idx="113">
                  <c:v>0.720338059964726</c:v>
                </c:pt>
                <c:pt idx="114">
                  <c:v>0.71484452003023402</c:v>
                </c:pt>
                <c:pt idx="115">
                  <c:v>0.70884761904761895</c:v>
                </c:pt>
                <c:pt idx="116">
                  <c:v>0.705206046863189</c:v>
                </c:pt>
                <c:pt idx="117">
                  <c:v>0.69383522297807998</c:v>
                </c:pt>
                <c:pt idx="118">
                  <c:v>0.68896931216931201</c:v>
                </c:pt>
                <c:pt idx="119">
                  <c:v>0.68322297808012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45B-4039-BF8A-880E8077B598}"/>
            </c:ext>
          </c:extLst>
        </c:ser>
        <c:ser>
          <c:idx val="3"/>
          <c:order val="3"/>
          <c:tx>
            <c:v>FIBERGLASS</c:v>
          </c:tx>
          <c:spPr>
            <a:ln w="19050" cap="rnd">
              <a:solidFill>
                <a:srgbClr val="FF0000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TRANSMITTANCE!$G$3:$G$149</c:f>
              <c:numCache>
                <c:formatCode>General</c:formatCode>
                <c:ptCount val="147"/>
                <c:pt idx="0">
                  <c:v>0.440024110910188</c:v>
                </c:pt>
                <c:pt idx="1">
                  <c:v>1.0261603375527399</c:v>
                </c:pt>
                <c:pt idx="2">
                  <c:v>1.6122965641953</c:v>
                </c:pt>
                <c:pt idx="3">
                  <c:v>2.1984327908378498</c:v>
                </c:pt>
                <c:pt idx="4">
                  <c:v>2.8302419702058002</c:v>
                </c:pt>
                <c:pt idx="5">
                  <c:v>3.3338155515370702</c:v>
                </c:pt>
                <c:pt idx="6">
                  <c:v>3.9568414707655202</c:v>
                </c:pt>
                <c:pt idx="7">
                  <c:v>4.5429776974080802</c:v>
                </c:pt>
                <c:pt idx="8">
                  <c:v>5.12911392405063</c:v>
                </c:pt>
                <c:pt idx="9">
                  <c:v>5.7152501506931896</c:v>
                </c:pt>
                <c:pt idx="10">
                  <c:v>6.3013863773357404</c:v>
                </c:pt>
                <c:pt idx="11">
                  <c:v>6.8875226039783</c:v>
                </c:pt>
                <c:pt idx="12">
                  <c:v>7.4736588306208596</c:v>
                </c:pt>
                <c:pt idx="13">
                  <c:v>8.0597950572634094</c:v>
                </c:pt>
                <c:pt idx="14">
                  <c:v>8.6459312839059699</c:v>
                </c:pt>
                <c:pt idx="15">
                  <c:v>9.2320675105485197</c:v>
                </c:pt>
                <c:pt idx="16">
                  <c:v>9.8182037371910802</c:v>
                </c:pt>
                <c:pt idx="17">
                  <c:v>10.4043399638336</c:v>
                </c:pt>
                <c:pt idx="18">
                  <c:v>10.9904761904761</c:v>
                </c:pt>
                <c:pt idx="19">
                  <c:v>11.576612417118699</c:v>
                </c:pt>
                <c:pt idx="20">
                  <c:v>12.162748643761301</c:v>
                </c:pt>
                <c:pt idx="21">
                  <c:v>12.748884870403799</c:v>
                </c:pt>
                <c:pt idx="22">
                  <c:v>13.3350210970464</c:v>
                </c:pt>
                <c:pt idx="23">
                  <c:v>13.921157323688901</c:v>
                </c:pt>
                <c:pt idx="24">
                  <c:v>14.5072935503315</c:v>
                </c:pt>
                <c:pt idx="25">
                  <c:v>15.160036166365201</c:v>
                </c:pt>
                <c:pt idx="26">
                  <c:v>15.638122027995401</c:v>
                </c:pt>
                <c:pt idx="27">
                  <c:v>16.265702230259102</c:v>
                </c:pt>
                <c:pt idx="28">
                  <c:v>16.851838456901699</c:v>
                </c:pt>
                <c:pt idx="29">
                  <c:v>17.437974683544301</c:v>
                </c:pt>
                <c:pt idx="30">
                  <c:v>18.024110910186799</c:v>
                </c:pt>
                <c:pt idx="31">
                  <c:v>18.6102471368294</c:v>
                </c:pt>
                <c:pt idx="32">
                  <c:v>19.196383363471899</c:v>
                </c:pt>
                <c:pt idx="33">
                  <c:v>19.7825195901145</c:v>
                </c:pt>
                <c:pt idx="34">
                  <c:v>20.368655816756998</c:v>
                </c:pt>
                <c:pt idx="35">
                  <c:v>20.9547920433996</c:v>
                </c:pt>
                <c:pt idx="36">
                  <c:v>21.540928270042102</c:v>
                </c:pt>
                <c:pt idx="37">
                  <c:v>22.127064496684699</c:v>
                </c:pt>
                <c:pt idx="38">
                  <c:v>22.713200723327301</c:v>
                </c:pt>
                <c:pt idx="39">
                  <c:v>23.299336949969799</c:v>
                </c:pt>
                <c:pt idx="40">
                  <c:v>23.8854731766124</c:v>
                </c:pt>
                <c:pt idx="41">
                  <c:v>24.471609403254899</c:v>
                </c:pt>
                <c:pt idx="42">
                  <c:v>25.0577456298975</c:v>
                </c:pt>
                <c:pt idx="43">
                  <c:v>25.643881856539998</c:v>
                </c:pt>
                <c:pt idx="44">
                  <c:v>26.2300180831826</c:v>
                </c:pt>
                <c:pt idx="45">
                  <c:v>26.816154309825102</c:v>
                </c:pt>
                <c:pt idx="46">
                  <c:v>27.402290536467699</c:v>
                </c:pt>
                <c:pt idx="47">
                  <c:v>27.988426763110301</c:v>
                </c:pt>
                <c:pt idx="48">
                  <c:v>28.574562989752799</c:v>
                </c:pt>
                <c:pt idx="49">
                  <c:v>29.1606992163954</c:v>
                </c:pt>
                <c:pt idx="50">
                  <c:v>29.640265220012001</c:v>
                </c:pt>
                <c:pt idx="51">
                  <c:v>30.3329716696805</c:v>
                </c:pt>
                <c:pt idx="52">
                  <c:v>30.919107896322998</c:v>
                </c:pt>
                <c:pt idx="53">
                  <c:v>31.5052441229656</c:v>
                </c:pt>
                <c:pt idx="54">
                  <c:v>32.091380349608201</c:v>
                </c:pt>
                <c:pt idx="55">
                  <c:v>32.437733574442397</c:v>
                </c:pt>
                <c:pt idx="56">
                  <c:v>33.530078360458099</c:v>
                </c:pt>
                <c:pt idx="57">
                  <c:v>34.138416716897702</c:v>
                </c:pt>
                <c:pt idx="58">
                  <c:v>34.652618042997702</c:v>
                </c:pt>
                <c:pt idx="59">
                  <c:v>35.255696202531603</c:v>
                </c:pt>
                <c:pt idx="60">
                  <c:v>36.7804701627486</c:v>
                </c:pt>
                <c:pt idx="61">
                  <c:v>37.374804098854703</c:v>
                </c:pt>
                <c:pt idx="62">
                  <c:v>37.952742616033703</c:v>
                </c:pt>
                <c:pt idx="63">
                  <c:v>38.4323086196503</c:v>
                </c:pt>
                <c:pt idx="64">
                  <c:v>39.551295961422497</c:v>
                </c:pt>
                <c:pt idx="65">
                  <c:v>40.137432188064999</c:v>
                </c:pt>
                <c:pt idx="66">
                  <c:v>40.7235684147076</c:v>
                </c:pt>
                <c:pt idx="67">
                  <c:v>41.327466345187801</c:v>
                </c:pt>
                <c:pt idx="68">
                  <c:v>41.895840867992703</c:v>
                </c:pt>
                <c:pt idx="69">
                  <c:v>42.481977094635297</c:v>
                </c:pt>
                <c:pt idx="70">
                  <c:v>43.068113321277799</c:v>
                </c:pt>
                <c:pt idx="71">
                  <c:v>43.678227848101201</c:v>
                </c:pt>
                <c:pt idx="72">
                  <c:v>44.213743218806499</c:v>
                </c:pt>
                <c:pt idx="73">
                  <c:v>44.647860156720903</c:v>
                </c:pt>
                <c:pt idx="74">
                  <c:v>45.412658227848098</c:v>
                </c:pt>
                <c:pt idx="75">
                  <c:v>45.990596745027098</c:v>
                </c:pt>
                <c:pt idx="76">
                  <c:v>46.492569821177398</c:v>
                </c:pt>
                <c:pt idx="77">
                  <c:v>47.047845087402003</c:v>
                </c:pt>
                <c:pt idx="78">
                  <c:v>47.534071729957802</c:v>
                </c:pt>
                <c:pt idx="79">
                  <c:v>48.0378380550532</c:v>
                </c:pt>
                <c:pt idx="80">
                  <c:v>48.540807715491198</c:v>
                </c:pt>
                <c:pt idx="81">
                  <c:v>49.062688366485801</c:v>
                </c:pt>
                <c:pt idx="82">
                  <c:v>49.490536467751603</c:v>
                </c:pt>
                <c:pt idx="83">
                  <c:v>50.0014466546112</c:v>
                </c:pt>
                <c:pt idx="84">
                  <c:v>50.415189873417702</c:v>
                </c:pt>
                <c:pt idx="85">
                  <c:v>50.907293550331502</c:v>
                </c:pt>
                <c:pt idx="86">
                  <c:v>51.321036769137997</c:v>
                </c:pt>
                <c:pt idx="87">
                  <c:v>51.813140446051797</c:v>
                </c:pt>
                <c:pt idx="88">
                  <c:v>52.226883664858299</c:v>
                </c:pt>
                <c:pt idx="89">
                  <c:v>52.716048824593102</c:v>
                </c:pt>
                <c:pt idx="90">
                  <c:v>53.082383966244699</c:v>
                </c:pt>
                <c:pt idx="91">
                  <c:v>53.568832630098399</c:v>
                </c:pt>
                <c:pt idx="92">
                  <c:v>53.865960561439699</c:v>
                </c:pt>
                <c:pt idx="93">
                  <c:v>54.364556962025297</c:v>
                </c:pt>
                <c:pt idx="94">
                  <c:v>54.8974080771549</c:v>
                </c:pt>
                <c:pt idx="95">
                  <c:v>55.441477110497701</c:v>
                </c:pt>
                <c:pt idx="96">
                  <c:v>55.9707224662016</c:v>
                </c:pt>
                <c:pt idx="97">
                  <c:v>56.233634719710601</c:v>
                </c:pt>
                <c:pt idx="98">
                  <c:v>56.6927064496684</c:v>
                </c:pt>
                <c:pt idx="99">
                  <c:v>56.942736588306197</c:v>
                </c:pt>
                <c:pt idx="100">
                  <c:v>57.241952983725099</c:v>
                </c:pt>
                <c:pt idx="101">
                  <c:v>57.754822182037302</c:v>
                </c:pt>
                <c:pt idx="102">
                  <c:v>58.243152184258101</c:v>
                </c:pt>
                <c:pt idx="103">
                  <c:v>58.692069232756303</c:v>
                </c:pt>
                <c:pt idx="104">
                  <c:v>59.595901145268201</c:v>
                </c:pt>
                <c:pt idx="105">
                  <c:v>60.066063893912002</c:v>
                </c:pt>
                <c:pt idx="106">
                  <c:v>60.578193021230902</c:v>
                </c:pt>
                <c:pt idx="107">
                  <c:v>60.918625678119298</c:v>
                </c:pt>
                <c:pt idx="108">
                  <c:v>61.398191681735902</c:v>
                </c:pt>
                <c:pt idx="109">
                  <c:v>61.8244725738396</c:v>
                </c:pt>
                <c:pt idx="110">
                  <c:v>62.250753465943298</c:v>
                </c:pt>
                <c:pt idx="111">
                  <c:v>62.677034358047003</c:v>
                </c:pt>
                <c:pt idx="112">
                  <c:v>63.103315250150601</c:v>
                </c:pt>
                <c:pt idx="113">
                  <c:v>63.529596142254299</c:v>
                </c:pt>
                <c:pt idx="114">
                  <c:v>63.9487723528229</c:v>
                </c:pt>
                <c:pt idx="115">
                  <c:v>64.357082579867296</c:v>
                </c:pt>
                <c:pt idx="116">
                  <c:v>64.841001942267695</c:v>
                </c:pt>
                <c:pt idx="117">
                  <c:v>65.288004822182003</c:v>
                </c:pt>
                <c:pt idx="118">
                  <c:v>65.707181032750597</c:v>
                </c:pt>
                <c:pt idx="119">
                  <c:v>66.087281494876393</c:v>
                </c:pt>
                <c:pt idx="120">
                  <c:v>66.456178420735299</c:v>
                </c:pt>
                <c:pt idx="121">
                  <c:v>66.784086799276594</c:v>
                </c:pt>
                <c:pt idx="122">
                  <c:v>67.152983725135599</c:v>
                </c:pt>
                <c:pt idx="123">
                  <c:v>67.525979505726298</c:v>
                </c:pt>
                <c:pt idx="124">
                  <c:v>67.894876431585203</c:v>
                </c:pt>
                <c:pt idx="125">
                  <c:v>68.222784810126498</c:v>
                </c:pt>
                <c:pt idx="126">
                  <c:v>68.587582881253695</c:v>
                </c:pt>
                <c:pt idx="127">
                  <c:v>68.911392405063296</c:v>
                </c:pt>
                <c:pt idx="128">
                  <c:v>69.231103074141004</c:v>
                </c:pt>
                <c:pt idx="129">
                  <c:v>69.572127787823902</c:v>
                </c:pt>
                <c:pt idx="130">
                  <c:v>70.289700622865098</c:v>
                </c:pt>
                <c:pt idx="131">
                  <c:v>70.6657022302591</c:v>
                </c:pt>
                <c:pt idx="132">
                  <c:v>71.010825798673906</c:v>
                </c:pt>
                <c:pt idx="133">
                  <c:v>71.291460719308802</c:v>
                </c:pt>
                <c:pt idx="134">
                  <c:v>71.628933092224202</c:v>
                </c:pt>
                <c:pt idx="135">
                  <c:v>71.997830018083107</c:v>
                </c:pt>
                <c:pt idx="136">
                  <c:v>72.175993570423898</c:v>
                </c:pt>
                <c:pt idx="137">
                  <c:v>72.508137432187993</c:v>
                </c:pt>
                <c:pt idx="138">
                  <c:v>72.794100863974194</c:v>
                </c:pt>
                <c:pt idx="139">
                  <c:v>73.1589770085249</c:v>
                </c:pt>
                <c:pt idx="140">
                  <c:v>73.455159186804707</c:v>
                </c:pt>
                <c:pt idx="141">
                  <c:v>73.843595539481598</c:v>
                </c:pt>
                <c:pt idx="142">
                  <c:v>74.142736588306207</c:v>
                </c:pt>
                <c:pt idx="143">
                  <c:v>74.416410488245901</c:v>
                </c:pt>
                <c:pt idx="144">
                  <c:v>74.739100916848997</c:v>
                </c:pt>
                <c:pt idx="145">
                  <c:v>75.010115622773796</c:v>
                </c:pt>
                <c:pt idx="146">
                  <c:v>75.039180229053599</c:v>
                </c:pt>
              </c:numCache>
            </c:numRef>
          </c:xVal>
          <c:yVal>
            <c:numRef>
              <c:f>TRANSMITTANCE!$H$3:$H$149</c:f>
              <c:numCache>
                <c:formatCode>General</c:formatCode>
                <c:ptCount val="147"/>
                <c:pt idx="0">
                  <c:v>0.799534611420325</c:v>
                </c:pt>
                <c:pt idx="1">
                  <c:v>0.798951473922902</c:v>
                </c:pt>
                <c:pt idx="2">
                  <c:v>0.79814526319233803</c:v>
                </c:pt>
                <c:pt idx="3">
                  <c:v>0.79714883856380403</c:v>
                </c:pt>
                <c:pt idx="4">
                  <c:v>0.79632785104971604</c:v>
                </c:pt>
                <c:pt idx="5">
                  <c:v>0.79585288845697</c:v>
                </c:pt>
                <c:pt idx="6">
                  <c:v>0.79571992029134797</c:v>
                </c:pt>
                <c:pt idx="7">
                  <c:v>0.79547694633408905</c:v>
                </c:pt>
                <c:pt idx="8">
                  <c:v>0.79525826977255498</c:v>
                </c:pt>
                <c:pt idx="9">
                  <c:v>0.79486951144093998</c:v>
                </c:pt>
                <c:pt idx="10">
                  <c:v>0.79401910259053099</c:v>
                </c:pt>
                <c:pt idx="11">
                  <c:v>0.79326588332302606</c:v>
                </c:pt>
                <c:pt idx="12">
                  <c:v>0.79243977186834302</c:v>
                </c:pt>
                <c:pt idx="13">
                  <c:v>0.79166225520511202</c:v>
                </c:pt>
                <c:pt idx="14">
                  <c:v>0.79088473854188102</c:v>
                </c:pt>
                <c:pt idx="15">
                  <c:v>0.79020441146155396</c:v>
                </c:pt>
                <c:pt idx="16">
                  <c:v>0.78932970521541901</c:v>
                </c:pt>
                <c:pt idx="17">
                  <c:v>0.78869797292654398</c:v>
                </c:pt>
                <c:pt idx="18">
                  <c:v>0.78794475365903904</c:v>
                </c:pt>
                <c:pt idx="19">
                  <c:v>0.786997155225726</c:v>
                </c:pt>
                <c:pt idx="20">
                  <c:v>0.78604955679241395</c:v>
                </c:pt>
                <c:pt idx="21">
                  <c:v>0.78500476877619696</c:v>
                </c:pt>
                <c:pt idx="22">
                  <c:v>0.78447022607022598</c:v>
                </c:pt>
                <c:pt idx="23">
                  <c:v>0.78357122242836497</c:v>
                </c:pt>
                <c:pt idx="24">
                  <c:v>0.78291519274376398</c:v>
                </c:pt>
                <c:pt idx="25">
                  <c:v>0.78093293020912002</c:v>
                </c:pt>
                <c:pt idx="26">
                  <c:v>0.78021278239690905</c:v>
                </c:pt>
                <c:pt idx="27">
                  <c:v>0.77980512609083996</c:v>
                </c:pt>
                <c:pt idx="28">
                  <c:v>0.77885752765752703</c:v>
                </c:pt>
                <c:pt idx="29">
                  <c:v>0.77805571359856995</c:v>
                </c:pt>
                <c:pt idx="30">
                  <c:v>0.77715670995670905</c:v>
                </c:pt>
                <c:pt idx="31">
                  <c:v>0.77630630110630106</c:v>
                </c:pt>
                <c:pt idx="32">
                  <c:v>0.77509143132000202</c:v>
                </c:pt>
                <c:pt idx="33">
                  <c:v>0.77416813028241505</c:v>
                </c:pt>
                <c:pt idx="34">
                  <c:v>0.77329342403628099</c:v>
                </c:pt>
                <c:pt idx="35">
                  <c:v>0.77207855424998195</c:v>
                </c:pt>
                <c:pt idx="36">
                  <c:v>0.770815089672232</c:v>
                </c:pt>
                <c:pt idx="37">
                  <c:v>0.76947873290730395</c:v>
                </c:pt>
                <c:pt idx="38">
                  <c:v>0.76814237614237602</c:v>
                </c:pt>
                <c:pt idx="39">
                  <c:v>0.76675742458599605</c:v>
                </c:pt>
                <c:pt idx="40">
                  <c:v>0.76551825740397095</c:v>
                </c:pt>
                <c:pt idx="41">
                  <c:v>0.76408471105613895</c:v>
                </c:pt>
                <c:pt idx="42">
                  <c:v>0.76260256991685504</c:v>
                </c:pt>
                <c:pt idx="43">
                  <c:v>0.76114472617329698</c:v>
                </c:pt>
                <c:pt idx="44">
                  <c:v>0.75966258503401296</c:v>
                </c:pt>
                <c:pt idx="45">
                  <c:v>0.75820474129045501</c:v>
                </c:pt>
                <c:pt idx="46">
                  <c:v>0.75650392358963703</c:v>
                </c:pt>
                <c:pt idx="47">
                  <c:v>0.75497318765890098</c:v>
                </c:pt>
                <c:pt idx="48">
                  <c:v>0.753272369958084</c:v>
                </c:pt>
                <c:pt idx="49">
                  <c:v>0.751644444444444</c:v>
                </c:pt>
                <c:pt idx="50">
                  <c:v>0.750460814166936</c:v>
                </c:pt>
                <c:pt idx="51">
                  <c:v>0.74887454133168396</c:v>
                </c:pt>
                <c:pt idx="52">
                  <c:v>0.74714942623514002</c:v>
                </c:pt>
                <c:pt idx="53">
                  <c:v>0.745084147598433</c:v>
                </c:pt>
                <c:pt idx="54">
                  <c:v>0.74321324812753298</c:v>
                </c:pt>
                <c:pt idx="55">
                  <c:v>0.74255721844293199</c:v>
                </c:pt>
                <c:pt idx="56">
                  <c:v>0.73888831168831104</c:v>
                </c:pt>
                <c:pt idx="57">
                  <c:v>0.73647679516250897</c:v>
                </c:pt>
                <c:pt idx="58">
                  <c:v>0.73437871504157204</c:v>
                </c:pt>
                <c:pt idx="59">
                  <c:v>0.73252426303854801</c:v>
                </c:pt>
                <c:pt idx="60">
                  <c:v>0.72705547996976505</c:v>
                </c:pt>
                <c:pt idx="61">
                  <c:v>0.724300529100529</c:v>
                </c:pt>
                <c:pt idx="62">
                  <c:v>0.72197732426303796</c:v>
                </c:pt>
                <c:pt idx="63">
                  <c:v>0.72018278803584901</c:v>
                </c:pt>
                <c:pt idx="64">
                  <c:v>0.71476099773242596</c:v>
                </c:pt>
                <c:pt idx="65">
                  <c:v>0.71254993472136297</c:v>
                </c:pt>
                <c:pt idx="66">
                  <c:v>0.70973143681715101</c:v>
                </c:pt>
                <c:pt idx="67">
                  <c:v>0.70656467624086605</c:v>
                </c:pt>
                <c:pt idx="68">
                  <c:v>0.70409444100872598</c:v>
                </c:pt>
                <c:pt idx="69">
                  <c:v>0.70197015441096999</c:v>
                </c:pt>
                <c:pt idx="70">
                  <c:v>0.69804091841642801</c:v>
                </c:pt>
                <c:pt idx="71">
                  <c:v>0.69403410430838997</c:v>
                </c:pt>
                <c:pt idx="72">
                  <c:v>0.69140816326530596</c:v>
                </c:pt>
                <c:pt idx="73">
                  <c:v>0.68762509448223696</c:v>
                </c:pt>
                <c:pt idx="74">
                  <c:v>0.68441541950113305</c:v>
                </c:pt>
                <c:pt idx="75">
                  <c:v>0.68089977324262996</c:v>
                </c:pt>
                <c:pt idx="76">
                  <c:v>0.676951010330057</c:v>
                </c:pt>
                <c:pt idx="77">
                  <c:v>0.67330052910052895</c:v>
                </c:pt>
                <c:pt idx="78">
                  <c:v>0.66932486772486699</c:v>
                </c:pt>
                <c:pt idx="79">
                  <c:v>0.66636706475182605</c:v>
                </c:pt>
                <c:pt idx="80">
                  <c:v>0.66196704459561595</c:v>
                </c:pt>
                <c:pt idx="81">
                  <c:v>0.65880105820105805</c:v>
                </c:pt>
                <c:pt idx="82">
                  <c:v>0.65501798941798905</c:v>
                </c:pt>
                <c:pt idx="83">
                  <c:v>0.65185789871504096</c:v>
                </c:pt>
                <c:pt idx="84">
                  <c:v>0.64742433862433801</c:v>
                </c:pt>
                <c:pt idx="85">
                  <c:v>0.64442146636432296</c:v>
                </c:pt>
                <c:pt idx="86">
                  <c:v>0.64005079365079298</c:v>
                </c:pt>
                <c:pt idx="87">
                  <c:v>0.63704792139077804</c:v>
                </c:pt>
                <c:pt idx="88">
                  <c:v>0.632567195767195</c:v>
                </c:pt>
                <c:pt idx="89">
                  <c:v>0.62953484504913004</c:v>
                </c:pt>
                <c:pt idx="90">
                  <c:v>0.62477407407407404</c:v>
                </c:pt>
                <c:pt idx="91">
                  <c:v>0.621804021164021</c:v>
                </c:pt>
                <c:pt idx="92">
                  <c:v>0.61718786308174001</c:v>
                </c:pt>
                <c:pt idx="93">
                  <c:v>0.61266334089191199</c:v>
                </c:pt>
                <c:pt idx="94">
                  <c:v>0.60699718820861603</c:v>
                </c:pt>
                <c:pt idx="95">
                  <c:v>0.60178760734034598</c:v>
                </c:pt>
                <c:pt idx="96">
                  <c:v>0.59714796612522503</c:v>
                </c:pt>
                <c:pt idx="97">
                  <c:v>0.59301272864701404</c:v>
                </c:pt>
                <c:pt idx="98">
                  <c:v>0.59027422524565298</c:v>
                </c:pt>
                <c:pt idx="99">
                  <c:v>0.58583340891912306</c:v>
                </c:pt>
                <c:pt idx="100">
                  <c:v>0.58540166288737705</c:v>
                </c:pt>
                <c:pt idx="101">
                  <c:v>0.576514890400604</c:v>
                </c:pt>
                <c:pt idx="102">
                  <c:v>0.57157388709869905</c:v>
                </c:pt>
                <c:pt idx="103">
                  <c:v>0.56707448439693298</c:v>
                </c:pt>
                <c:pt idx="104">
                  <c:v>0.55554588057445198</c:v>
                </c:pt>
                <c:pt idx="105">
                  <c:v>0.55075357658214796</c:v>
                </c:pt>
                <c:pt idx="106">
                  <c:v>0.54483581086755595</c:v>
                </c:pt>
                <c:pt idx="107">
                  <c:v>0.54370733182161701</c:v>
                </c:pt>
                <c:pt idx="108">
                  <c:v>0.53308329554043798</c:v>
                </c:pt>
                <c:pt idx="109">
                  <c:v>0.527620937263794</c:v>
                </c:pt>
                <c:pt idx="110">
                  <c:v>0.52194142101284902</c:v>
                </c:pt>
                <c:pt idx="111">
                  <c:v>0.51591111111111099</c:v>
                </c:pt>
                <c:pt idx="112">
                  <c:v>0.50964693877551004</c:v>
                </c:pt>
                <c:pt idx="113">
                  <c:v>0.50386719576719496</c:v>
                </c:pt>
                <c:pt idx="114">
                  <c:v>0.49776211352265698</c:v>
                </c:pt>
                <c:pt idx="115">
                  <c:v>0.49189512051734202</c:v>
                </c:pt>
                <c:pt idx="116">
                  <c:v>0.48597671957671901</c:v>
                </c:pt>
                <c:pt idx="117">
                  <c:v>0.47927823129251701</c:v>
                </c:pt>
                <c:pt idx="118">
                  <c:v>0.473201148904006</c:v>
                </c:pt>
                <c:pt idx="119">
                  <c:v>0.467153180002159</c:v>
                </c:pt>
                <c:pt idx="120">
                  <c:v>0.46149055177626502</c:v>
                </c:pt>
                <c:pt idx="121">
                  <c:v>0.45577505668934198</c:v>
                </c:pt>
                <c:pt idx="122">
                  <c:v>0.44999054097829599</c:v>
                </c:pt>
                <c:pt idx="123">
                  <c:v>0.44401511715797398</c:v>
                </c:pt>
                <c:pt idx="124">
                  <c:v>0.43813514739228998</c:v>
                </c:pt>
                <c:pt idx="125">
                  <c:v>0.43235797430083101</c:v>
                </c:pt>
                <c:pt idx="126">
                  <c:v>0.42662191987906201</c:v>
                </c:pt>
                <c:pt idx="127">
                  <c:v>0.42076250944822302</c:v>
                </c:pt>
                <c:pt idx="128">
                  <c:v>0.41501617535903201</c:v>
                </c:pt>
                <c:pt idx="129">
                  <c:v>0.40914511463844699</c:v>
                </c:pt>
                <c:pt idx="130">
                  <c:v>0.39524700428319398</c:v>
                </c:pt>
                <c:pt idx="131">
                  <c:v>0.38955343915343899</c:v>
                </c:pt>
                <c:pt idx="132">
                  <c:v>0.38354051902242298</c:v>
                </c:pt>
                <c:pt idx="133">
                  <c:v>0.38165180146132499</c:v>
                </c:pt>
                <c:pt idx="134">
                  <c:v>0.37105003779289403</c:v>
                </c:pt>
                <c:pt idx="135">
                  <c:v>0.36514950869236501</c:v>
                </c:pt>
                <c:pt idx="136">
                  <c:v>0.35896937263794398</c:v>
                </c:pt>
                <c:pt idx="137">
                  <c:v>0.358621919879062</c:v>
                </c:pt>
                <c:pt idx="138">
                  <c:v>0.34826070042831903</c:v>
                </c:pt>
                <c:pt idx="139">
                  <c:v>0.34247109383435898</c:v>
                </c:pt>
                <c:pt idx="140">
                  <c:v>0.33376811379096999</c:v>
                </c:pt>
                <c:pt idx="141">
                  <c:v>0.32731776266061902</c:v>
                </c:pt>
                <c:pt idx="142">
                  <c:v>0.32058291761148899</c:v>
                </c:pt>
                <c:pt idx="143">
                  <c:v>0.31458896447467799</c:v>
                </c:pt>
                <c:pt idx="144">
                  <c:v>0.30835179558874498</c:v>
                </c:pt>
                <c:pt idx="145">
                  <c:v>0.30240642381050498</c:v>
                </c:pt>
                <c:pt idx="146">
                  <c:v>0.29808495842781502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45B-4039-BF8A-880E8077B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0091935"/>
        <c:axId val="1699559711"/>
      </c:scatterChart>
      <c:valAx>
        <c:axId val="1580091935"/>
        <c:scaling>
          <c:orientation val="minMax"/>
          <c:max val="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ANGLE OF INCIDENCE, DEGREES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699559711"/>
        <c:crosses val="autoZero"/>
        <c:crossBetween val="midCat"/>
      </c:valAx>
      <c:valAx>
        <c:axId val="16995597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TRANSMITTANCE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5800919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5</xdr:row>
          <xdr:rowOff>38100</xdr:rowOff>
        </xdr:from>
        <xdr:to>
          <xdr:col>4</xdr:col>
          <xdr:colOff>9525</xdr:colOff>
          <xdr:row>6</xdr:row>
          <xdr:rowOff>152400</xdr:rowOff>
        </xdr:to>
        <xdr:sp macro="" textlink="">
          <xdr:nvSpPr>
            <xdr:cNvPr id="3592" name="CommandButton1" hidden="1">
              <a:extLst>
                <a:ext uri="{63B3BB69-23CF-44E3-9099-C40C66FF867C}">
                  <a14:compatExt spid="_x0000_s3592"/>
                </a:ext>
                <a:ext uri="{FF2B5EF4-FFF2-40B4-BE49-F238E27FC236}">
                  <a16:creationId xmlns:a16="http://schemas.microsoft.com/office/drawing/2014/main" id="{00000000-0008-0000-0000-0000080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161925</xdr:colOff>
      <xdr:row>11</xdr:row>
      <xdr:rowOff>23812</xdr:rowOff>
    </xdr:from>
    <xdr:to>
      <xdr:col>23</xdr:col>
      <xdr:colOff>466725</xdr:colOff>
      <xdr:row>25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428625</xdr:colOff>
      <xdr:row>5</xdr:row>
      <xdr:rowOff>142875</xdr:rowOff>
    </xdr:from>
    <xdr:to>
      <xdr:col>19</xdr:col>
      <xdr:colOff>123825</xdr:colOff>
      <xdr:row>28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6</xdr:row>
      <xdr:rowOff>66675</xdr:rowOff>
    </xdr:from>
    <xdr:to>
      <xdr:col>19</xdr:col>
      <xdr:colOff>57149</xdr:colOff>
      <xdr:row>29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4164A-F494-47BC-BB96-B8EAB2B724C6}">
  <sheetPr codeName="Sheet1"/>
  <dimension ref="B2:D5"/>
  <sheetViews>
    <sheetView tabSelected="1" zoomScaleNormal="100" workbookViewId="0">
      <selection activeCell="M4" sqref="M4"/>
    </sheetView>
  </sheetViews>
  <sheetFormatPr defaultRowHeight="15" x14ac:dyDescent="0.25"/>
  <cols>
    <col min="2" max="2" width="25.85546875" bestFit="1" customWidth="1"/>
    <col min="3" max="3" width="20" bestFit="1" customWidth="1"/>
    <col min="4" max="4" width="20.5703125" bestFit="1" customWidth="1"/>
  </cols>
  <sheetData>
    <row r="2" spans="2:4" x14ac:dyDescent="0.25">
      <c r="B2" s="6" t="s">
        <v>23</v>
      </c>
      <c r="C2" s="6"/>
      <c r="D2" s="6"/>
    </row>
    <row r="3" spans="2:4" x14ac:dyDescent="0.25">
      <c r="B3" s="7" t="s">
        <v>13</v>
      </c>
      <c r="C3" s="7"/>
      <c r="D3" s="7"/>
    </row>
    <row r="4" spans="2:4" x14ac:dyDescent="0.25">
      <c r="B4" s="2" t="s">
        <v>17</v>
      </c>
      <c r="C4" s="2" t="s">
        <v>14</v>
      </c>
      <c r="D4" s="2" t="s">
        <v>15</v>
      </c>
    </row>
    <row r="5" spans="2:4" x14ac:dyDescent="0.25">
      <c r="B5" s="3" t="s">
        <v>19</v>
      </c>
      <c r="C5" s="3"/>
      <c r="D5" s="3"/>
    </row>
  </sheetData>
  <mergeCells count="2">
    <mergeCell ref="B2:D2"/>
    <mergeCell ref="B3:D3"/>
  </mergeCells>
  <dataValidations count="1">
    <dataValidation type="list" allowBlank="1" showInputMessage="1" showErrorMessage="1" sqref="B3:D3" xr:uid="{8B8F7DB6-BAE3-453C-9E70-AFF850FD44D2}">
      <formula1>"HUNTER CURVE, TRANSMITTANCE, DESIGN FLOW, FAN CURVE"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92" r:id="rId3" name="CommandButton1">
          <controlPr defaultSize="0" autoLine="0" r:id="rId4">
            <anchor moveWithCells="1">
              <from>
                <xdr:col>0</xdr:col>
                <xdr:colOff>590550</xdr:colOff>
                <xdr:row>5</xdr:row>
                <xdr:rowOff>38100</xdr:rowOff>
              </from>
              <to>
                <xdr:col>4</xdr:col>
                <xdr:colOff>9525</xdr:colOff>
                <xdr:row>6</xdr:row>
                <xdr:rowOff>152400</xdr:rowOff>
              </to>
            </anchor>
          </controlPr>
        </control>
      </mc:Choice>
      <mc:Fallback>
        <control shapeId="3592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62A103F-89FD-4401-89B2-CD03C1E3B7D0}">
          <x14:formula1>
            <xm:f>'HUNTER CURVE'!$J$2:$J$5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FF0EE-3FEB-4C97-AE99-32D19CC8F6FD}">
  <sheetPr codeName="Sheet4"/>
  <dimension ref="A1:BK60"/>
  <sheetViews>
    <sheetView zoomScaleNormal="100" workbookViewId="0">
      <selection activeCell="X6" sqref="X6"/>
    </sheetView>
  </sheetViews>
  <sheetFormatPr defaultRowHeight="15" x14ac:dyDescent="0.25"/>
  <cols>
    <col min="1" max="1" width="12" bestFit="1" customWidth="1"/>
    <col min="3" max="3" width="12" bestFit="1" customWidth="1"/>
    <col min="5" max="5" width="12" bestFit="1" customWidth="1"/>
    <col min="7" max="7" width="12" bestFit="1" customWidth="1"/>
    <col min="9" max="9" width="12" bestFit="1" customWidth="1"/>
    <col min="62" max="62" width="0" hidden="1" customWidth="1"/>
    <col min="63" max="63" width="26.42578125" bestFit="1" customWidth="1"/>
  </cols>
  <sheetData>
    <row r="1" spans="1:63" x14ac:dyDescent="0.25">
      <c r="A1" s="8" t="s">
        <v>39</v>
      </c>
      <c r="B1" s="8"/>
      <c r="C1" s="8"/>
      <c r="D1" s="8"/>
      <c r="E1" s="8"/>
      <c r="F1" s="8"/>
      <c r="G1" s="8" t="s">
        <v>40</v>
      </c>
      <c r="H1" s="8"/>
      <c r="I1" s="8"/>
      <c r="J1" s="8"/>
      <c r="K1" s="8"/>
      <c r="L1" s="8"/>
      <c r="M1" s="8" t="s">
        <v>42</v>
      </c>
      <c r="N1" s="8"/>
      <c r="O1" s="8"/>
      <c r="P1" s="8"/>
      <c r="Q1" s="8"/>
      <c r="R1" s="8"/>
      <c r="S1" s="8" t="s">
        <v>44</v>
      </c>
      <c r="T1" s="8"/>
      <c r="U1" s="8"/>
      <c r="V1" s="8"/>
      <c r="W1" s="8"/>
      <c r="X1" s="8"/>
      <c r="Y1" s="8" t="s">
        <v>45</v>
      </c>
      <c r="Z1" s="8"/>
      <c r="AA1" s="8"/>
      <c r="AB1" s="8"/>
      <c r="AC1" s="8"/>
      <c r="AD1" s="8"/>
      <c r="AE1" s="8" t="s">
        <v>46</v>
      </c>
      <c r="AF1" s="8"/>
      <c r="AG1" s="8"/>
      <c r="AH1" s="8"/>
      <c r="AI1" s="8"/>
      <c r="AJ1" s="8"/>
      <c r="AK1" s="8" t="s">
        <v>47</v>
      </c>
      <c r="AL1" s="8"/>
      <c r="AM1" s="8"/>
      <c r="AN1" s="8"/>
      <c r="AO1" s="8"/>
      <c r="AP1" s="8"/>
      <c r="AQ1" s="8" t="s">
        <v>48</v>
      </c>
      <c r="AR1" s="8"/>
      <c r="AS1" s="8"/>
      <c r="AT1" s="8"/>
      <c r="AU1" s="8"/>
      <c r="AV1" s="8"/>
      <c r="AW1" s="8" t="s">
        <v>49</v>
      </c>
      <c r="AX1" s="8"/>
      <c r="AY1" s="8"/>
      <c r="AZ1" s="8"/>
      <c r="BA1" s="8"/>
      <c r="BB1" s="8"/>
      <c r="BC1" s="8" t="s">
        <v>50</v>
      </c>
      <c r="BD1" s="8"/>
      <c r="BE1" s="8"/>
      <c r="BF1" s="8"/>
      <c r="BG1" s="8"/>
      <c r="BH1" s="8"/>
      <c r="BJ1" t="str" cm="1">
        <f t="array" ref="BJ1:BJ60">TRANSPOSE(A1:BH1)</f>
        <v>02SQ-PSC</v>
      </c>
    </row>
    <row r="2" spans="1:63" x14ac:dyDescent="0.25">
      <c r="A2" s="8" t="s">
        <v>37</v>
      </c>
      <c r="B2" s="8"/>
      <c r="C2" s="8" t="s">
        <v>38</v>
      </c>
      <c r="D2" s="8"/>
      <c r="E2" s="8" t="s">
        <v>41</v>
      </c>
      <c r="F2" s="8"/>
      <c r="G2" s="8" t="s">
        <v>37</v>
      </c>
      <c r="H2" s="8"/>
      <c r="I2" s="8" t="s">
        <v>38</v>
      </c>
      <c r="J2" s="8"/>
      <c r="K2" s="8" t="s">
        <v>41</v>
      </c>
      <c r="L2" s="8"/>
      <c r="M2" s="8" t="s">
        <v>37</v>
      </c>
      <c r="N2" s="8"/>
      <c r="O2" s="8" t="s">
        <v>38</v>
      </c>
      <c r="P2" s="8"/>
      <c r="Q2" s="8" t="s">
        <v>41</v>
      </c>
      <c r="R2" s="8"/>
      <c r="S2" s="8" t="s">
        <v>43</v>
      </c>
      <c r="T2" s="8"/>
      <c r="U2" s="8" t="s">
        <v>38</v>
      </c>
      <c r="V2" s="8"/>
      <c r="W2" s="8" t="s">
        <v>41</v>
      </c>
      <c r="X2" s="8"/>
      <c r="Y2" s="8" t="s">
        <v>37</v>
      </c>
      <c r="Z2" s="8"/>
      <c r="AA2" s="8" t="s">
        <v>38</v>
      </c>
      <c r="AB2" s="8"/>
      <c r="AC2" s="8" t="s">
        <v>41</v>
      </c>
      <c r="AD2" s="8"/>
      <c r="AE2" s="8" t="s">
        <v>37</v>
      </c>
      <c r="AF2" s="8"/>
      <c r="AG2" s="8" t="s">
        <v>38</v>
      </c>
      <c r="AH2" s="8"/>
      <c r="AI2" s="8" t="s">
        <v>41</v>
      </c>
      <c r="AJ2" s="8"/>
      <c r="AK2" s="8" t="s">
        <v>37</v>
      </c>
      <c r="AL2" s="8"/>
      <c r="AM2" s="8" t="s">
        <v>38</v>
      </c>
      <c r="AN2" s="8"/>
      <c r="AO2" s="8" t="s">
        <v>41</v>
      </c>
      <c r="AP2" s="8"/>
      <c r="AQ2" s="8" t="s">
        <v>37</v>
      </c>
      <c r="AR2" s="8"/>
      <c r="AS2" s="8" t="s">
        <v>38</v>
      </c>
      <c r="AT2" s="8"/>
      <c r="AU2" s="8" t="s">
        <v>41</v>
      </c>
      <c r="AV2" s="8"/>
      <c r="AW2" s="8" t="s">
        <v>37</v>
      </c>
      <c r="AX2" s="8"/>
      <c r="AY2" s="8" t="s">
        <v>38</v>
      </c>
      <c r="AZ2" s="8"/>
      <c r="BA2" s="8" t="s">
        <v>41</v>
      </c>
      <c r="BB2" s="8"/>
      <c r="BC2" s="8" t="s">
        <v>37</v>
      </c>
      <c r="BD2" s="8"/>
      <c r="BE2" s="8" t="s">
        <v>38</v>
      </c>
      <c r="BF2" s="8"/>
      <c r="BG2" s="8" t="s">
        <v>41</v>
      </c>
      <c r="BH2" s="8"/>
      <c r="BJ2">
        <v>0</v>
      </c>
      <c r="BK2" t="s">
        <v>54</v>
      </c>
    </row>
    <row r="3" spans="1:63" x14ac:dyDescent="0.25">
      <c r="A3" t="s">
        <v>4</v>
      </c>
      <c r="B3" t="s">
        <v>5</v>
      </c>
      <c r="C3" t="s">
        <v>4</v>
      </c>
      <c r="D3" t="s">
        <v>5</v>
      </c>
      <c r="E3" t="s">
        <v>4</v>
      </c>
      <c r="F3" t="s">
        <v>5</v>
      </c>
      <c r="G3" t="s">
        <v>4</v>
      </c>
      <c r="H3" t="s">
        <v>5</v>
      </c>
      <c r="I3" t="s">
        <v>4</v>
      </c>
      <c r="J3" t="s">
        <v>5</v>
      </c>
      <c r="K3" t="s">
        <v>4</v>
      </c>
      <c r="L3" t="s">
        <v>5</v>
      </c>
      <c r="M3" t="s">
        <v>4</v>
      </c>
      <c r="N3" t="s">
        <v>5</v>
      </c>
      <c r="O3" t="s">
        <v>4</v>
      </c>
      <c r="P3" t="s">
        <v>5</v>
      </c>
      <c r="Q3" t="s">
        <v>4</v>
      </c>
      <c r="R3" t="s">
        <v>5</v>
      </c>
      <c r="S3" t="s">
        <v>4</v>
      </c>
      <c r="T3" t="s">
        <v>5</v>
      </c>
      <c r="U3" t="s">
        <v>4</v>
      </c>
      <c r="V3" t="s">
        <v>5</v>
      </c>
      <c r="W3" t="s">
        <v>4</v>
      </c>
      <c r="X3" t="s">
        <v>5</v>
      </c>
      <c r="Y3" t="s">
        <v>4</v>
      </c>
      <c r="Z3" t="s">
        <v>5</v>
      </c>
      <c r="AA3" t="s">
        <v>4</v>
      </c>
      <c r="AB3" t="s">
        <v>5</v>
      </c>
      <c r="AC3" t="s">
        <v>4</v>
      </c>
      <c r="AD3" t="s">
        <v>5</v>
      </c>
      <c r="AE3" t="s">
        <v>4</v>
      </c>
      <c r="AF3" t="s">
        <v>5</v>
      </c>
      <c r="AG3" t="s">
        <v>4</v>
      </c>
      <c r="AH3" t="s">
        <v>5</v>
      </c>
      <c r="AI3" t="s">
        <v>4</v>
      </c>
      <c r="AJ3" t="s">
        <v>5</v>
      </c>
      <c r="AK3" t="s">
        <v>4</v>
      </c>
      <c r="AL3" t="s">
        <v>5</v>
      </c>
      <c r="AM3" t="s">
        <v>4</v>
      </c>
      <c r="AN3" t="s">
        <v>5</v>
      </c>
      <c r="AO3" t="s">
        <v>4</v>
      </c>
      <c r="AP3" t="s">
        <v>5</v>
      </c>
      <c r="AQ3" t="s">
        <v>4</v>
      </c>
      <c r="AR3" t="s">
        <v>5</v>
      </c>
      <c r="AS3" t="s">
        <v>4</v>
      </c>
      <c r="AT3" t="s">
        <v>5</v>
      </c>
      <c r="AU3" t="s">
        <v>4</v>
      </c>
      <c r="AV3" t="s">
        <v>5</v>
      </c>
      <c r="AW3" t="s">
        <v>4</v>
      </c>
      <c r="AX3" t="s">
        <v>5</v>
      </c>
      <c r="AY3" t="s">
        <v>4</v>
      </c>
      <c r="AZ3" t="s">
        <v>5</v>
      </c>
      <c r="BA3" t="s">
        <v>4</v>
      </c>
      <c r="BB3" t="s">
        <v>5</v>
      </c>
      <c r="BC3" t="s">
        <v>4</v>
      </c>
      <c r="BD3" t="s">
        <v>5</v>
      </c>
      <c r="BE3" t="s">
        <v>4</v>
      </c>
      <c r="BF3" t="s">
        <v>5</v>
      </c>
      <c r="BG3" t="s">
        <v>4</v>
      </c>
      <c r="BH3" t="s">
        <v>5</v>
      </c>
      <c r="BJ3">
        <v>0</v>
      </c>
      <c r="BK3" t="s">
        <v>55</v>
      </c>
    </row>
    <row r="4" spans="1:63" x14ac:dyDescent="0.25">
      <c r="A4">
        <v>268.78934791916998</v>
      </c>
      <c r="B4">
        <v>0.58812589492488299</v>
      </c>
      <c r="C4">
        <v>300.05045847120999</v>
      </c>
      <c r="D4">
        <v>0.58958341571410799</v>
      </c>
      <c r="E4">
        <v>346.70395999944702</v>
      </c>
      <c r="F4">
        <v>0.59086400167326603</v>
      </c>
      <c r="G4">
        <v>1058.3595891288101</v>
      </c>
      <c r="H4">
        <v>0.491927098776413</v>
      </c>
      <c r="I4">
        <v>1078.7392095084399</v>
      </c>
      <c r="J4">
        <v>0.49549473864542298</v>
      </c>
      <c r="M4">
        <v>808.05264981459698</v>
      </c>
      <c r="N4">
        <v>0.78345361237456501</v>
      </c>
      <c r="O4">
        <v>850.93501495960697</v>
      </c>
      <c r="P4">
        <v>0.78497111021244603</v>
      </c>
      <c r="Q4">
        <v>902.34148660901803</v>
      </c>
      <c r="R4">
        <v>0.78301633573164398</v>
      </c>
      <c r="S4">
        <v>1482.3492573252199</v>
      </c>
      <c r="T4">
        <v>0.49064526235943201</v>
      </c>
      <c r="Y4">
        <v>1017.75422065174</v>
      </c>
      <c r="Z4">
        <v>0.78478929459494795</v>
      </c>
      <c r="AA4">
        <v>1132.64801050593</v>
      </c>
      <c r="AB4">
        <v>0.78282231468569596</v>
      </c>
      <c r="AC4">
        <v>1249.9354209820799</v>
      </c>
      <c r="AD4">
        <v>0.77800886551227699</v>
      </c>
      <c r="AE4">
        <v>1717.9607813213599</v>
      </c>
      <c r="AF4">
        <v>0.48534216726514201</v>
      </c>
      <c r="AG4">
        <v>1884.91835648351</v>
      </c>
      <c r="AH4">
        <v>0.48863053985197502</v>
      </c>
      <c r="AK4">
        <v>1057.28798042786</v>
      </c>
      <c r="AL4">
        <v>0.78860630110630103</v>
      </c>
      <c r="AM4">
        <v>1181.9613963711099</v>
      </c>
      <c r="AN4">
        <v>0.78806116722783404</v>
      </c>
      <c r="AO4">
        <v>1350.62354697771</v>
      </c>
      <c r="AP4">
        <v>0.78615319865319799</v>
      </c>
      <c r="AQ4">
        <v>2213.1321828846399</v>
      </c>
      <c r="AR4">
        <v>0.47612719493356598</v>
      </c>
      <c r="AS4">
        <v>2295.2507325494198</v>
      </c>
      <c r="AT4">
        <v>0.49257597019156901</v>
      </c>
      <c r="AU4">
        <v>2440.8999652549001</v>
      </c>
      <c r="AV4">
        <v>0.48844225738235098</v>
      </c>
      <c r="AW4">
        <v>1388.8026915804601</v>
      </c>
      <c r="AX4">
        <v>0.79119673172807303</v>
      </c>
      <c r="AY4">
        <v>1573.52241130018</v>
      </c>
      <c r="AZ4">
        <v>0.79372276516282303</v>
      </c>
      <c r="BA4">
        <v>1915.5686550748201</v>
      </c>
      <c r="BB4">
        <v>0.79003134266495201</v>
      </c>
      <c r="BC4">
        <v>1266.50257110947</v>
      </c>
      <c r="BD4">
        <v>0.78106950786402796</v>
      </c>
      <c r="BE4">
        <v>1418.07596284742</v>
      </c>
      <c r="BF4">
        <v>0.78219076610857396</v>
      </c>
      <c r="BG4">
        <v>1770.66172370661</v>
      </c>
      <c r="BH4">
        <v>0.78707945205479402</v>
      </c>
      <c r="BJ4">
        <v>0</v>
      </c>
      <c r="BK4" t="s">
        <v>56</v>
      </c>
    </row>
    <row r="5" spans="1:63" x14ac:dyDescent="0.25">
      <c r="A5">
        <v>286.493760766229</v>
      </c>
      <c r="B5">
        <v>0.57391106428068195</v>
      </c>
      <c r="C5">
        <v>315.585518009466</v>
      </c>
      <c r="D5">
        <v>0.579311739281549</v>
      </c>
      <c r="E5">
        <v>363.00110696082999</v>
      </c>
      <c r="F5">
        <v>0.58351646530240098</v>
      </c>
      <c r="G5">
        <v>1067.4171981864199</v>
      </c>
      <c r="H5">
        <v>0.46313114840512098</v>
      </c>
      <c r="I5">
        <v>1086.66461743384</v>
      </c>
      <c r="J5">
        <v>0.47285114682374901</v>
      </c>
      <c r="M5">
        <v>835.74872282548597</v>
      </c>
      <c r="N5">
        <v>0.74996942214457196</v>
      </c>
      <c r="O5">
        <v>878.86382807983102</v>
      </c>
      <c r="P5">
        <v>0.74909034335660396</v>
      </c>
      <c r="Q5">
        <v>924.94636972819899</v>
      </c>
      <c r="R5">
        <v>0.75332470484579495</v>
      </c>
      <c r="S5">
        <v>1488.8122222864399</v>
      </c>
      <c r="T5">
        <v>0.46495493839618901</v>
      </c>
      <c r="Y5">
        <v>1049.4867911829001</v>
      </c>
      <c r="Z5">
        <v>0.76223369455549295</v>
      </c>
      <c r="AA5">
        <v>1165.2012509646199</v>
      </c>
      <c r="AB5">
        <v>0.75376768637948099</v>
      </c>
      <c r="AC5">
        <v>1277.2226960724499</v>
      </c>
      <c r="AD5">
        <v>0.74719615293779595</v>
      </c>
      <c r="AE5">
        <v>1737.77479531983</v>
      </c>
      <c r="AF5">
        <v>0.46559765438303202</v>
      </c>
      <c r="AG5">
        <v>1918.8284360469099</v>
      </c>
      <c r="AH5">
        <v>0.45972885081321702</v>
      </c>
      <c r="AK5">
        <v>1107.2059383517701</v>
      </c>
      <c r="AL5">
        <v>0.756675084175084</v>
      </c>
      <c r="AM5">
        <v>1228.83723144139</v>
      </c>
      <c r="AN5">
        <v>0.75794252044251997</v>
      </c>
      <c r="AO5">
        <v>1389.4111000881801</v>
      </c>
      <c r="AP5">
        <v>0.76075336700336704</v>
      </c>
      <c r="AQ5">
        <v>2228.1112108034499</v>
      </c>
      <c r="AR5">
        <v>0.45709777575308302</v>
      </c>
      <c r="AS5">
        <v>2314.4783847092399</v>
      </c>
      <c r="AT5">
        <v>0.47096022607400101</v>
      </c>
      <c r="AU5">
        <v>2460.1096447503301</v>
      </c>
      <c r="AV5">
        <v>0.46847400750034102</v>
      </c>
      <c r="AW5">
        <v>1451.82342836663</v>
      </c>
      <c r="AX5">
        <v>0.77205172806009403</v>
      </c>
      <c r="AY5">
        <v>1636.4475586697799</v>
      </c>
      <c r="AZ5">
        <v>0.77669778696825498</v>
      </c>
      <c r="BA5">
        <v>1965.82137693248</v>
      </c>
      <c r="BB5">
        <v>0.77215149093804003</v>
      </c>
      <c r="BC5">
        <v>1332.3718673237099</v>
      </c>
      <c r="BD5">
        <v>0.7565700152207</v>
      </c>
      <c r="BE5">
        <v>1466.92285666922</v>
      </c>
      <c r="BF5">
        <v>0.76739015728056803</v>
      </c>
      <c r="BG5">
        <v>1837.2711243727099</v>
      </c>
      <c r="BH5">
        <v>0.772792583367925</v>
      </c>
      <c r="BJ5">
        <v>0</v>
      </c>
      <c r="BK5" t="s">
        <v>57</v>
      </c>
    </row>
    <row r="6" spans="1:63" x14ac:dyDescent="0.25">
      <c r="A6">
        <v>302.10336764714498</v>
      </c>
      <c r="B6">
        <v>0.56181681278154905</v>
      </c>
      <c r="C6">
        <v>331.40729477884798</v>
      </c>
      <c r="D6">
        <v>0.56950492889319904</v>
      </c>
      <c r="E6">
        <v>378.81966870820298</v>
      </c>
      <c r="F6">
        <v>0.57588300979259399</v>
      </c>
      <c r="G6">
        <v>1075.34260611183</v>
      </c>
      <c r="H6">
        <v>0.43557295064144302</v>
      </c>
      <c r="I6">
        <v>1093.45782422705</v>
      </c>
      <c r="J6">
        <v>0.452755869194225</v>
      </c>
      <c r="M6">
        <v>862.45565037169899</v>
      </c>
      <c r="N6">
        <v>0.71268688100521205</v>
      </c>
      <c r="O6">
        <v>904.17431497003304</v>
      </c>
      <c r="P6">
        <v>0.71135444387926805</v>
      </c>
      <c r="Q6">
        <v>945.89297956836697</v>
      </c>
      <c r="R6">
        <v>0.72390592402562404</v>
      </c>
      <c r="S6">
        <v>1494.82056164139</v>
      </c>
      <c r="T6">
        <v>0.442032599071365</v>
      </c>
      <c r="Y6">
        <v>1087.6479428130399</v>
      </c>
      <c r="Z6">
        <v>0.73256597800432299</v>
      </c>
      <c r="AA6">
        <v>1193.9246984281699</v>
      </c>
      <c r="AB6">
        <v>0.72499964348410795</v>
      </c>
      <c r="AC6">
        <v>1301.6376264164701</v>
      </c>
      <c r="AD6">
        <v>0.71865139590262395</v>
      </c>
      <c r="AE6">
        <v>1759.3658020084799</v>
      </c>
      <c r="AF6">
        <v>0.44150864826801201</v>
      </c>
      <c r="AG6">
        <v>1940.4707604203199</v>
      </c>
      <c r="AH6">
        <v>0.441028201597362</v>
      </c>
      <c r="AK6">
        <v>1151.7543275727801</v>
      </c>
      <c r="AL6">
        <v>0.726052188552188</v>
      </c>
      <c r="AM6">
        <v>1274.93085618085</v>
      </c>
      <c r="AN6">
        <v>0.72676767676767595</v>
      </c>
      <c r="AO6">
        <v>1431.9112162388601</v>
      </c>
      <c r="AP6">
        <v>0.72982476277930797</v>
      </c>
      <c r="AQ6">
        <v>2247.3920062726202</v>
      </c>
      <c r="AR6">
        <v>0.43061056161140898</v>
      </c>
      <c r="AS6">
        <v>2327.3257410113501</v>
      </c>
      <c r="AT6">
        <v>0.45389858984644899</v>
      </c>
      <c r="AU6">
        <v>2477.1952961759898</v>
      </c>
      <c r="AV6">
        <v>0.44977288210326599</v>
      </c>
      <c r="AW6">
        <v>1511.08886664442</v>
      </c>
      <c r="AX6">
        <v>0.75272609049107597</v>
      </c>
      <c r="AY6">
        <v>1686.59103547992</v>
      </c>
      <c r="AZ6">
        <v>0.76070776185542199</v>
      </c>
      <c r="BA6">
        <v>2033.5533063928101</v>
      </c>
      <c r="BB6">
        <v>0.74464703291660705</v>
      </c>
      <c r="BC6">
        <v>1404.9761140497601</v>
      </c>
      <c r="BD6">
        <v>0.72814611872146096</v>
      </c>
      <c r="BE6">
        <v>1535.5305393553001</v>
      </c>
      <c r="BF6">
        <v>0.74664687975646804</v>
      </c>
      <c r="BG6">
        <v>1894.11114627444</v>
      </c>
      <c r="BH6">
        <v>0.76088685946220203</v>
      </c>
      <c r="BJ6">
        <v>0</v>
      </c>
      <c r="BK6" t="s">
        <v>58</v>
      </c>
    </row>
    <row r="7" spans="1:63" x14ac:dyDescent="0.25">
      <c r="A7">
        <v>315.00903581090103</v>
      </c>
      <c r="B7">
        <v>0.55268717489896502</v>
      </c>
      <c r="C7">
        <v>346.36569960516402</v>
      </c>
      <c r="D7">
        <v>0.56048040916113595</v>
      </c>
      <c r="E7">
        <v>393.51990523415498</v>
      </c>
      <c r="F7">
        <v>0.568681848407535</v>
      </c>
      <c r="G7">
        <v>1082.13581290504</v>
      </c>
      <c r="H7">
        <v>0.414021493473548</v>
      </c>
      <c r="M7">
        <v>886.54425168789203</v>
      </c>
      <c r="N7">
        <v>0.67699521548820496</v>
      </c>
      <c r="O7">
        <v>924.59725956419595</v>
      </c>
      <c r="P7">
        <v>0.68109629016478201</v>
      </c>
      <c r="Q7">
        <v>967.30506962720494</v>
      </c>
      <c r="R7">
        <v>0.69206901656948105</v>
      </c>
      <c r="S7">
        <v>1500.36096703619</v>
      </c>
      <c r="T7">
        <v>0.42010823331830599</v>
      </c>
      <c r="Y7">
        <v>1118.16660574306</v>
      </c>
      <c r="Z7">
        <v>0.70635209216161399</v>
      </c>
      <c r="AA7">
        <v>1223.46881581924</v>
      </c>
      <c r="AB7">
        <v>0.69288209896958497</v>
      </c>
      <c r="AC7">
        <v>1324.6163843873101</v>
      </c>
      <c r="AD7">
        <v>0.68781836248640404</v>
      </c>
      <c r="AE7">
        <v>1776.1895170063599</v>
      </c>
      <c r="AF7">
        <v>0.42599728316107899</v>
      </c>
      <c r="AG7">
        <v>1967.15757279741</v>
      </c>
      <c r="AH7">
        <v>0.41739836080340798</v>
      </c>
      <c r="AK7">
        <v>1206.9824735449699</v>
      </c>
      <c r="AL7">
        <v>0.68512626262626197</v>
      </c>
      <c r="AM7">
        <v>1324.9146438878499</v>
      </c>
      <c r="AN7">
        <v>0.68966450216450204</v>
      </c>
      <c r="AO7">
        <v>1470.51041165624</v>
      </c>
      <c r="AP7">
        <v>0.70172558922558903</v>
      </c>
      <c r="AQ7">
        <v>2266.6695480697899</v>
      </c>
      <c r="AR7">
        <v>0.40442160073651701</v>
      </c>
      <c r="AS7">
        <v>2340.18859098966</v>
      </c>
      <c r="AT7">
        <v>0.435416699967554</v>
      </c>
      <c r="AU7">
        <v>2494.2824969692601</v>
      </c>
      <c r="AV7">
        <v>0.430929731341056</v>
      </c>
      <c r="AW7">
        <v>1570.08119230341</v>
      </c>
      <c r="AX7">
        <v>0.73238986885277102</v>
      </c>
      <c r="AY7">
        <v>1748.28717606495</v>
      </c>
      <c r="AZ7">
        <v>0.73970731056348704</v>
      </c>
      <c r="BA7">
        <v>2081.0749020625499</v>
      </c>
      <c r="BB7">
        <v>0.72341297600394405</v>
      </c>
      <c r="BC7">
        <v>1462.73598005593</v>
      </c>
      <c r="BD7">
        <v>0.70584909762991899</v>
      </c>
      <c r="BE7">
        <v>1594.81290594812</v>
      </c>
      <c r="BF7">
        <v>0.72792186707255202</v>
      </c>
      <c r="BG7">
        <v>1956.27992022946</v>
      </c>
      <c r="BH7">
        <v>0.74593674953492295</v>
      </c>
      <c r="BJ7" t="str">
        <v>03SQ-ECM</v>
      </c>
      <c r="BK7" t="s">
        <v>59</v>
      </c>
    </row>
    <row r="8" spans="1:63" x14ac:dyDescent="0.25">
      <c r="A8">
        <v>333.688113292803</v>
      </c>
      <c r="B8">
        <v>0.53878272457064902</v>
      </c>
      <c r="C8">
        <v>361.60955656451398</v>
      </c>
      <c r="D8">
        <v>0.55277596178321298</v>
      </c>
      <c r="E8">
        <v>410.457890015342</v>
      </c>
      <c r="F8">
        <v>0.55987397759493995</v>
      </c>
      <c r="G8">
        <v>1088.9290196982499</v>
      </c>
      <c r="H8">
        <v>0.39014014904425798</v>
      </c>
      <c r="M8">
        <v>913.77484448011</v>
      </c>
      <c r="N8">
        <v>0.63412060834683903</v>
      </c>
      <c r="O8">
        <v>944.49653891235596</v>
      </c>
      <c r="P8">
        <v>0.65133610330922698</v>
      </c>
      <c r="Q8">
        <v>983.59687728066797</v>
      </c>
      <c r="R8">
        <v>0.66587799626562705</v>
      </c>
      <c r="Y8">
        <v>1150.1214410462601</v>
      </c>
      <c r="Z8">
        <v>0.67589950313418001</v>
      </c>
      <c r="AA8">
        <v>1248.9779727333</v>
      </c>
      <c r="AB8">
        <v>0.66356072127527299</v>
      </c>
      <c r="AC8">
        <v>1346.1589699849701</v>
      </c>
      <c r="AD8">
        <v>0.65878796523550998</v>
      </c>
      <c r="AE8">
        <v>1789.98266006996</v>
      </c>
      <c r="AF8">
        <v>0.41049040779034601</v>
      </c>
      <c r="AG8">
        <v>1987.1718739277101</v>
      </c>
      <c r="AH8">
        <v>0.39959112419378201</v>
      </c>
      <c r="AK8">
        <v>1245.61713363796</v>
      </c>
      <c r="AL8">
        <v>0.65450336700336698</v>
      </c>
      <c r="AM8">
        <v>1369.28221414828</v>
      </c>
      <c r="AN8">
        <v>0.65409451659451601</v>
      </c>
      <c r="AO8">
        <v>1515.07425444925</v>
      </c>
      <c r="AP8">
        <v>0.66752525252525197</v>
      </c>
      <c r="AQ8">
        <v>2283.78851089927</v>
      </c>
      <c r="AR8">
        <v>0.38266692998905399</v>
      </c>
      <c r="AS8">
        <v>2359.4410330313899</v>
      </c>
      <c r="AT8">
        <v>0.411528550007837</v>
      </c>
      <c r="AW8">
        <v>1629.0735179624</v>
      </c>
      <c r="AX8">
        <v>0.71272677099614201</v>
      </c>
      <c r="AY8">
        <v>1803.59248137025</v>
      </c>
      <c r="AZ8">
        <v>0.72043595861943799</v>
      </c>
      <c r="BA8">
        <v>2139.3571349126901</v>
      </c>
      <c r="BB8">
        <v>0.694076997318956</v>
      </c>
      <c r="BC8">
        <v>1533.5322573353201</v>
      </c>
      <c r="BD8">
        <v>0.67785768645357602</v>
      </c>
      <c r="BE8">
        <v>1656.7596485675899</v>
      </c>
      <c r="BF8">
        <v>0.70846803652968005</v>
      </c>
      <c r="BG8">
        <v>2016.0803599385799</v>
      </c>
      <c r="BH8">
        <v>0.73008963301200702</v>
      </c>
      <c r="BJ8">
        <v>0</v>
      </c>
      <c r="BK8" t="s">
        <v>60</v>
      </c>
    </row>
    <row r="9" spans="1:63" x14ac:dyDescent="0.25">
      <c r="A9">
        <v>347.63498114614799</v>
      </c>
      <c r="B9">
        <v>0.52816037317011</v>
      </c>
      <c r="C9">
        <v>378.87291260928998</v>
      </c>
      <c r="D9">
        <v>0.53989013265771202</v>
      </c>
      <c r="E9">
        <v>424.11943337812397</v>
      </c>
      <c r="F9">
        <v>0.55324209292551396</v>
      </c>
      <c r="G9">
        <v>1094.5900253592499</v>
      </c>
      <c r="H9">
        <v>0.37292810690070899</v>
      </c>
      <c r="M9">
        <v>935.41967464828303</v>
      </c>
      <c r="N9">
        <v>0.59842215457664305</v>
      </c>
      <c r="O9">
        <v>964.86129847918505</v>
      </c>
      <c r="P9">
        <v>0.61724888992094895</v>
      </c>
      <c r="Q9">
        <v>1002.73975127348</v>
      </c>
      <c r="R9">
        <v>0.63366854300947095</v>
      </c>
      <c r="Y9">
        <v>1175.25445757686</v>
      </c>
      <c r="Z9">
        <v>0.64993952392341903</v>
      </c>
      <c r="AA9">
        <v>1276.50460988586</v>
      </c>
      <c r="AB9">
        <v>0.62783136234199299</v>
      </c>
      <c r="AC9">
        <v>1366.26538320945</v>
      </c>
      <c r="AD9">
        <v>0.62767089715000002</v>
      </c>
      <c r="AE9">
        <v>1815.2071204696899</v>
      </c>
      <c r="AF9">
        <v>0.386056589935246</v>
      </c>
      <c r="AG9">
        <v>2015.4883258529401</v>
      </c>
      <c r="AH9">
        <v>0.37523758282191899</v>
      </c>
      <c r="AK9">
        <v>1289.9944384319299</v>
      </c>
      <c r="AL9">
        <v>0.61729797979797896</v>
      </c>
      <c r="AM9">
        <v>1414.81306116722</v>
      </c>
      <c r="AN9">
        <v>0.61443602693602695</v>
      </c>
      <c r="AO9">
        <v>1552.0624398749401</v>
      </c>
      <c r="AP9">
        <v>0.63532828282828202</v>
      </c>
      <c r="AQ9">
        <v>2301.6341271423598</v>
      </c>
      <c r="AR9">
        <v>0.35878084585283099</v>
      </c>
      <c r="AS9">
        <v>2375.8581323291701</v>
      </c>
      <c r="AT9">
        <v>0.38963288680698699</v>
      </c>
      <c r="AW9">
        <v>1678.2337893449001</v>
      </c>
      <c r="AX9">
        <v>0.69314351815265496</v>
      </c>
      <c r="AY9">
        <v>1861.35580024468</v>
      </c>
      <c r="AZ9">
        <v>0.69649448196368802</v>
      </c>
      <c r="BA9">
        <v>2184.93572938017</v>
      </c>
      <c r="BB9">
        <v>0.669455971740328</v>
      </c>
      <c r="BC9">
        <v>1595.95478138811</v>
      </c>
      <c r="BD9">
        <v>0.65298978038704003</v>
      </c>
      <c r="BE9">
        <v>1734.5023347735901</v>
      </c>
      <c r="BF9">
        <v>0.68355207653837702</v>
      </c>
      <c r="BG9">
        <v>2069.0718386907101</v>
      </c>
      <c r="BH9">
        <v>0.71469101978690996</v>
      </c>
      <c r="BJ9">
        <v>0</v>
      </c>
      <c r="BK9" t="s">
        <v>61</v>
      </c>
    </row>
    <row r="10" spans="1:63" x14ac:dyDescent="0.25">
      <c r="A10">
        <v>364.05954041722401</v>
      </c>
      <c r="B10">
        <v>0.51563449639859504</v>
      </c>
      <c r="C10">
        <v>393.975883644801</v>
      </c>
      <c r="D10">
        <v>0.53028171265191104</v>
      </c>
      <c r="E10">
        <v>442.09893717290203</v>
      </c>
      <c r="F10">
        <v>0.541954670513076</v>
      </c>
      <c r="M10">
        <v>955.73788619324603</v>
      </c>
      <c r="N10">
        <v>0.56487751656825202</v>
      </c>
      <c r="O10">
        <v>985.22605804601505</v>
      </c>
      <c r="P10">
        <v>0.58187982805549199</v>
      </c>
      <c r="Q10">
        <v>1020.25344450096</v>
      </c>
      <c r="R10">
        <v>0.60365201878349595</v>
      </c>
      <c r="Y10">
        <v>1203.97790504041</v>
      </c>
      <c r="Z10">
        <v>0.61667567734258699</v>
      </c>
      <c r="AA10">
        <v>1307.3823159091801</v>
      </c>
      <c r="AB10">
        <v>0.58679822215904198</v>
      </c>
      <c r="AC10">
        <v>1386.3717964339301</v>
      </c>
      <c r="AD10">
        <v>0.59574740687875805</v>
      </c>
      <c r="AE10">
        <v>1836.8076902964499</v>
      </c>
      <c r="AF10">
        <v>0.36297171332111999</v>
      </c>
      <c r="AG10">
        <v>2037.84828966038</v>
      </c>
      <c r="AH10">
        <v>0.35551758389945598</v>
      </c>
      <c r="AK10">
        <v>1334.3770667989399</v>
      </c>
      <c r="AL10">
        <v>0.57919823232323198</v>
      </c>
      <c r="AM10">
        <v>1454.3656877734199</v>
      </c>
      <c r="AN10">
        <v>0.57825276575276496</v>
      </c>
      <c r="AO10">
        <v>1585.6261380814899</v>
      </c>
      <c r="AP10">
        <v>0.60441919191919102</v>
      </c>
      <c r="AQ10">
        <v>2324.4910180144402</v>
      </c>
      <c r="AR10">
        <v>0.32687730074080801</v>
      </c>
      <c r="AS10">
        <v>2391.54702884572</v>
      </c>
      <c r="AT10">
        <v>0.37001066236003199</v>
      </c>
      <c r="AW10">
        <v>1742.96147999851</v>
      </c>
      <c r="AX10">
        <v>0.66785252601529399</v>
      </c>
      <c r="AY10">
        <v>1928.13183553924</v>
      </c>
      <c r="AZ10">
        <v>0.66816247290175101</v>
      </c>
      <c r="BA10">
        <v>2233.7448559670702</v>
      </c>
      <c r="BB10">
        <v>0.638114335095329</v>
      </c>
      <c r="BC10">
        <v>1659.4240245942401</v>
      </c>
      <c r="BD10">
        <v>0.62824200913242001</v>
      </c>
      <c r="BE10">
        <v>1794.6411079464101</v>
      </c>
      <c r="BF10">
        <v>0.66401014713343398</v>
      </c>
      <c r="BG10">
        <v>2137.4574900412399</v>
      </c>
      <c r="BH10">
        <v>0.69405986808726505</v>
      </c>
      <c r="BJ10">
        <v>0</v>
      </c>
      <c r="BK10" t="s">
        <v>62</v>
      </c>
    </row>
    <row r="11" spans="1:63" x14ac:dyDescent="0.25">
      <c r="A11">
        <v>379.49925117355502</v>
      </c>
      <c r="B11">
        <v>0.50505669178540302</v>
      </c>
      <c r="C11">
        <v>410.51790375952299</v>
      </c>
      <c r="D11">
        <v>0.519304686528819</v>
      </c>
      <c r="E11">
        <v>459.35811339863801</v>
      </c>
      <c r="F11">
        <v>0.53189439905803304</v>
      </c>
      <c r="M11">
        <v>975.218233344601</v>
      </c>
      <c r="N11">
        <v>0.52961254125169199</v>
      </c>
      <c r="O11">
        <v>1004.77622723017</v>
      </c>
      <c r="P11">
        <v>0.54534318664153703</v>
      </c>
      <c r="Q11">
        <v>1038.5817281110999</v>
      </c>
      <c r="R11">
        <v>0.57154018707319998</v>
      </c>
      <c r="Y11">
        <v>1235.4141225421799</v>
      </c>
      <c r="Z11">
        <v>0.57689503239480899</v>
      </c>
      <c r="AA11">
        <v>1328.4461773824501</v>
      </c>
      <c r="AB11">
        <v>0.55461940048167202</v>
      </c>
      <c r="AC11">
        <v>1409.35055440477</v>
      </c>
      <c r="AD11">
        <v>0.55857219898099597</v>
      </c>
      <c r="AE11">
        <v>1865.62102132681</v>
      </c>
      <c r="AF11">
        <v>0.33351186027810897</v>
      </c>
      <c r="AK11">
        <v>1372.5676192194001</v>
      </c>
      <c r="AL11">
        <v>0.54370490620490597</v>
      </c>
      <c r="AM11">
        <v>1496.2140418737599</v>
      </c>
      <c r="AN11">
        <v>0.53907126823793405</v>
      </c>
      <c r="AO11">
        <v>1620.5244408369399</v>
      </c>
      <c r="AP11">
        <v>0.57007575757575701</v>
      </c>
      <c r="AQ11">
        <v>2345.9076167472999</v>
      </c>
      <c r="AR11">
        <v>0.29804356933917803</v>
      </c>
      <c r="AS11">
        <v>2406.5449074039002</v>
      </c>
      <c r="AT11">
        <v>0.349253267903749</v>
      </c>
      <c r="AW11">
        <v>1797.6932488043501</v>
      </c>
      <c r="AX11">
        <v>0.64556518872673796</v>
      </c>
      <c r="AY11">
        <v>1976.4727690653599</v>
      </c>
      <c r="AZ11">
        <v>0.645435280553458</v>
      </c>
      <c r="BA11">
        <v>2273.8924109294398</v>
      </c>
      <c r="BB11">
        <v>0.61185994717914804</v>
      </c>
      <c r="BC11">
        <v>1711.5125759151199</v>
      </c>
      <c r="BD11">
        <v>0.60785753424657496</v>
      </c>
      <c r="BE11">
        <v>1857.2539445725299</v>
      </c>
      <c r="BF11">
        <v>0.64337899543378996</v>
      </c>
      <c r="BG11">
        <v>2192.5212612585401</v>
      </c>
      <c r="BH11">
        <v>0.67626923727380295</v>
      </c>
      <c r="BJ11">
        <v>0</v>
      </c>
      <c r="BK11" t="s">
        <v>63</v>
      </c>
    </row>
    <row r="12" spans="1:63" x14ac:dyDescent="0.25">
      <c r="A12">
        <v>400.66595237108601</v>
      </c>
      <c r="B12">
        <v>0.48716033304853501</v>
      </c>
      <c r="C12">
        <v>426.34198070725398</v>
      </c>
      <c r="D12">
        <v>0.50794295557695901</v>
      </c>
      <c r="E12">
        <v>475.18106639558499</v>
      </c>
      <c r="F12">
        <v>0.521292458836071</v>
      </c>
      <c r="M12">
        <v>998.25950416878595</v>
      </c>
      <c r="N12">
        <v>0.48612699132332199</v>
      </c>
      <c r="O12">
        <v>1020.25344450096</v>
      </c>
      <c r="P12">
        <v>0.51811776585174796</v>
      </c>
      <c r="Q12">
        <v>1061.7975540172899</v>
      </c>
      <c r="R12">
        <v>0.52945350217697995</v>
      </c>
      <c r="Y12">
        <v>1265.37427399374</v>
      </c>
      <c r="Z12">
        <v>0.53860915365834905</v>
      </c>
      <c r="AA12">
        <v>1349.03131473132</v>
      </c>
      <c r="AB12">
        <v>0.52303025721794205</v>
      </c>
      <c r="AC12">
        <v>1426.5846228829</v>
      </c>
      <c r="AD12">
        <v>0.525852259943279</v>
      </c>
      <c r="AE12">
        <v>1883.6455162711</v>
      </c>
      <c r="AF12">
        <v>0.31679657240942899</v>
      </c>
      <c r="AK12">
        <v>1418.02910768684</v>
      </c>
      <c r="AL12">
        <v>0.50098003848003803</v>
      </c>
      <c r="AM12">
        <v>1531.1378166586501</v>
      </c>
      <c r="AN12">
        <v>0.503392255892255</v>
      </c>
      <c r="AO12">
        <v>1653.3042657298599</v>
      </c>
      <c r="AP12">
        <v>0.53838985088985003</v>
      </c>
      <c r="AQ12">
        <v>2367.3149192744399</v>
      </c>
      <c r="AR12">
        <v>0.27006199012835402</v>
      </c>
      <c r="AS12">
        <v>2421.5056011392098</v>
      </c>
      <c r="AT12">
        <v>0.33190448221068902</v>
      </c>
      <c r="AW12">
        <v>1853.2443554665699</v>
      </c>
      <c r="AX12">
        <v>0.62097696746454001</v>
      </c>
      <c r="AY12">
        <v>2035.87476365254</v>
      </c>
      <c r="AZ12">
        <v>0.61393777046417697</v>
      </c>
      <c r="BA12">
        <v>2322.2333444555602</v>
      </c>
      <c r="BB12">
        <v>0.57684824581525995</v>
      </c>
      <c r="BC12">
        <v>1769.18151480292</v>
      </c>
      <c r="BD12">
        <v>0.58477456451885601</v>
      </c>
      <c r="BE12">
        <v>1919.4861560520001</v>
      </c>
      <c r="BF12">
        <v>0.62319634703196303</v>
      </c>
      <c r="BG12">
        <v>2248.7691995987998</v>
      </c>
      <c r="BH12">
        <v>0.65698359546761298</v>
      </c>
      <c r="BJ12">
        <v>0</v>
      </c>
      <c r="BK12" t="s">
        <v>64</v>
      </c>
    </row>
    <row r="13" spans="1:63" x14ac:dyDescent="0.25">
      <c r="A13">
        <v>415.61361344769898</v>
      </c>
      <c r="B13">
        <v>0.47460493732154901</v>
      </c>
      <c r="C13">
        <v>446.68964589938201</v>
      </c>
      <c r="D13">
        <v>0.49169679590229898</v>
      </c>
      <c r="E13">
        <v>491.004934236194</v>
      </c>
      <c r="F13">
        <v>0.51007208429907602</v>
      </c>
      <c r="M13">
        <v>1017.80967335294</v>
      </c>
      <c r="N13">
        <v>0.44762595873654698</v>
      </c>
      <c r="O13">
        <v>1037.76713772843</v>
      </c>
      <c r="P13">
        <v>0.48390610115500599</v>
      </c>
      <c r="Q13">
        <v>1078.90395205343</v>
      </c>
      <c r="R13">
        <v>0.49613966477701299</v>
      </c>
      <c r="Y13">
        <v>1287.75462680909</v>
      </c>
      <c r="Z13">
        <v>0.50372088641584101</v>
      </c>
      <c r="AA13">
        <v>1367.9887900572601</v>
      </c>
      <c r="AB13">
        <v>0.49210534367680703</v>
      </c>
      <c r="AC13">
        <v>1445.2548637342099</v>
      </c>
      <c r="AD13">
        <v>0.49117848058041302</v>
      </c>
      <c r="AE13">
        <v>1901.6329708917599</v>
      </c>
      <c r="AF13">
        <v>0.29619205055841102</v>
      </c>
      <c r="AK13">
        <v>1453.9982091321299</v>
      </c>
      <c r="AL13">
        <v>0.46336580086579998</v>
      </c>
      <c r="AM13">
        <v>1562.8566585163801</v>
      </c>
      <c r="AN13">
        <v>0.47038439955106598</v>
      </c>
      <c r="AO13">
        <v>1677.8955226871899</v>
      </c>
      <c r="AP13">
        <v>0.51355218855218798</v>
      </c>
      <c r="AQ13">
        <v>2388.7259402838599</v>
      </c>
      <c r="AR13">
        <v>0.24173955004120801</v>
      </c>
      <c r="AS13">
        <v>2436.4996062783398</v>
      </c>
      <c r="AT13">
        <v>0.311502151167241</v>
      </c>
      <c r="AW13">
        <v>1911.74507841174</v>
      </c>
      <c r="AX13">
        <v>0.59339182932932899</v>
      </c>
      <c r="AY13">
        <v>2086.7556445334199</v>
      </c>
      <c r="AZ13">
        <v>0.58566566200703596</v>
      </c>
      <c r="BA13">
        <v>2359.1035479924299</v>
      </c>
      <c r="BB13">
        <v>0.54655875852878699</v>
      </c>
      <c r="BC13">
        <v>1846.1523777948501</v>
      </c>
      <c r="BD13">
        <v>0.55322983257229796</v>
      </c>
      <c r="BE13">
        <v>1982.47961782479</v>
      </c>
      <c r="BF13">
        <v>0.60099543378995401</v>
      </c>
      <c r="BG13">
        <v>2313.3063077997299</v>
      </c>
      <c r="BH13">
        <v>0.63291391848469403</v>
      </c>
      <c r="BJ13" t="str">
        <v>03SQ-PSC</v>
      </c>
      <c r="BK13" t="s">
        <v>65</v>
      </c>
    </row>
    <row r="14" spans="1:63" x14ac:dyDescent="0.25">
      <c r="A14">
        <v>430.54282517714302</v>
      </c>
      <c r="B14">
        <v>0.461029236788984</v>
      </c>
      <c r="C14">
        <v>463.20848452918602</v>
      </c>
      <c r="D14">
        <v>0.47904351480781998</v>
      </c>
      <c r="E14">
        <v>510.50710382082298</v>
      </c>
      <c r="F14">
        <v>0.49485941334364603</v>
      </c>
      <c r="M14">
        <v>1031.2504146670501</v>
      </c>
      <c r="N14">
        <v>0.42014517032679399</v>
      </c>
      <c r="O14">
        <v>1055.93250326204</v>
      </c>
      <c r="P14">
        <v>0.44936995795583301</v>
      </c>
      <c r="Q14">
        <v>1092.34469336753</v>
      </c>
      <c r="R14">
        <v>0.46995737222725897</v>
      </c>
      <c r="Y14">
        <v>1314.56317777507</v>
      </c>
      <c r="Z14">
        <v>0.46434832053937602</v>
      </c>
      <c r="AA14">
        <v>1385.2228585353901</v>
      </c>
      <c r="AB14">
        <v>0.462409487835587</v>
      </c>
      <c r="AC14">
        <v>1461.05275983916</v>
      </c>
      <c r="AD14">
        <v>0.46129944627215203</v>
      </c>
      <c r="AE14">
        <v>1921.45169911323</v>
      </c>
      <c r="AF14">
        <v>0.27694253109223499</v>
      </c>
      <c r="AK14">
        <v>1490.76696194751</v>
      </c>
      <c r="AL14">
        <v>0.42387766554433198</v>
      </c>
      <c r="AM14">
        <v>1593.71634666773</v>
      </c>
      <c r="AN14">
        <v>0.43747194163860798</v>
      </c>
      <c r="AO14">
        <v>1711.2178957230999</v>
      </c>
      <c r="AP14">
        <v>0.47902988215488201</v>
      </c>
      <c r="AQ14">
        <v>2411.5710559620302</v>
      </c>
      <c r="AR14">
        <v>0.210915397704206</v>
      </c>
      <c r="AS14">
        <v>2451.4734696384198</v>
      </c>
      <c r="AT14">
        <v>0.29294614987054002</v>
      </c>
      <c r="AW14">
        <v>1953.8824538824499</v>
      </c>
      <c r="AX14">
        <v>0.57215074567048196</v>
      </c>
      <c r="AY14">
        <v>2137.88232677121</v>
      </c>
      <c r="AZ14">
        <v>0.55285077658067405</v>
      </c>
      <c r="BA14">
        <v>2392.5325325325298</v>
      </c>
      <c r="BB14">
        <v>0.51989762789104899</v>
      </c>
      <c r="BC14">
        <v>1907.30615135877</v>
      </c>
      <c r="BD14">
        <v>0.52862622309197604</v>
      </c>
      <c r="BE14">
        <v>2043.09417243094</v>
      </c>
      <c r="BF14">
        <v>0.57929908675799002</v>
      </c>
      <c r="BG14">
        <v>2367.48195367482</v>
      </c>
      <c r="BH14">
        <v>0.61202861491628602</v>
      </c>
      <c r="BJ14">
        <v>0</v>
      </c>
      <c r="BK14" t="s">
        <v>66</v>
      </c>
    </row>
    <row r="15" spans="1:63" x14ac:dyDescent="0.25">
      <c r="A15">
        <v>448.71006505614702</v>
      </c>
      <c r="B15">
        <v>0.444260792868094</v>
      </c>
      <c r="C15">
        <v>479.164713911089</v>
      </c>
      <c r="D15">
        <v>0.46508143223310899</v>
      </c>
      <c r="E15">
        <v>525.53552526286899</v>
      </c>
      <c r="F15">
        <v>0.48167826455233698</v>
      </c>
      <c r="M15">
        <v>1047.5422223205101</v>
      </c>
      <c r="N15">
        <v>0.38721195998063601</v>
      </c>
      <c r="O15">
        <v>1073.2018193747101</v>
      </c>
      <c r="P15">
        <v>0.41478471305859199</v>
      </c>
      <c r="Q15">
        <v>1109.45109140367</v>
      </c>
      <c r="R15">
        <v>0.435628044475242</v>
      </c>
      <c r="Y15">
        <v>1336.7212658183701</v>
      </c>
      <c r="Z15">
        <v>0.42657114555067499</v>
      </c>
      <c r="AA15">
        <v>1410.49949230331</v>
      </c>
      <c r="AB15">
        <v>0.41236386733998498</v>
      </c>
      <c r="AC15">
        <v>1476.85065594411</v>
      </c>
      <c r="AD15">
        <v>0.42662219995878198</v>
      </c>
      <c r="AE15">
        <v>1941.2546683606499</v>
      </c>
      <c r="AF15">
        <v>0.25603831934993798</v>
      </c>
      <c r="AK15">
        <v>1531.2478168876901</v>
      </c>
      <c r="AL15">
        <v>0.37893819143819102</v>
      </c>
      <c r="AM15">
        <v>1625.8238803377601</v>
      </c>
      <c r="AN15">
        <v>0.40098204264870901</v>
      </c>
      <c r="AO15">
        <v>1738.9985813348901</v>
      </c>
      <c r="AP15">
        <v>0.44823833573833499</v>
      </c>
      <c r="AQ15">
        <v>2431.564715473</v>
      </c>
      <c r="AR15">
        <v>0.183560795923466</v>
      </c>
      <c r="AS15">
        <v>2464.3239246757698</v>
      </c>
      <c r="AT15">
        <v>0.275600462912719</v>
      </c>
      <c r="AW15">
        <v>2014.1623104585999</v>
      </c>
      <c r="AX15">
        <v>0.53741070505203004</v>
      </c>
      <c r="AY15">
        <v>2184.93572938017</v>
      </c>
      <c r="AZ15">
        <v>0.52079177653008002</v>
      </c>
      <c r="BA15">
        <v>2427.9279279279199</v>
      </c>
      <c r="BB15">
        <v>0.48697329848645599</v>
      </c>
      <c r="BC15">
        <v>1965.1611736516099</v>
      </c>
      <c r="BD15">
        <v>0.50428691019786898</v>
      </c>
      <c r="BE15">
        <v>2102.94747674376</v>
      </c>
      <c r="BF15">
        <v>0.55726636225266302</v>
      </c>
      <c r="BG15">
        <v>2434.0913543409101</v>
      </c>
      <c r="BH15">
        <v>0.58454351736543497</v>
      </c>
      <c r="BJ15">
        <v>0</v>
      </c>
      <c r="BK15" t="s">
        <v>67</v>
      </c>
    </row>
    <row r="16" spans="1:63" x14ac:dyDescent="0.25">
      <c r="A16">
        <v>464.23138102877101</v>
      </c>
      <c r="B16">
        <v>0.42940221578209797</v>
      </c>
      <c r="C16">
        <v>492.81420224825501</v>
      </c>
      <c r="D16">
        <v>0.45272119386021498</v>
      </c>
      <c r="E16">
        <v>540.64457086029199</v>
      </c>
      <c r="F16">
        <v>0.46796344069472101</v>
      </c>
      <c r="M16">
        <v>1066.68509631333</v>
      </c>
      <c r="N16">
        <v>0.34647904672038299</v>
      </c>
      <c r="O16">
        <v>1088.6790366455</v>
      </c>
      <c r="P16">
        <v>0.38359721515752399</v>
      </c>
      <c r="Q16">
        <v>1124.1137182917901</v>
      </c>
      <c r="R16">
        <v>0.40653585405849502</v>
      </c>
      <c r="Y16">
        <v>1358.22281791966</v>
      </c>
      <c r="Z16">
        <v>0.38940106683996001</v>
      </c>
      <c r="AA16">
        <v>1428.02079525608</v>
      </c>
      <c r="AB16">
        <v>0.37716318273921501</v>
      </c>
      <c r="AC16">
        <v>1491.2123796758799</v>
      </c>
      <c r="AD16">
        <v>0.39634830135972399</v>
      </c>
      <c r="AE16">
        <v>1962.8808296837401</v>
      </c>
      <c r="AF16">
        <v>0.23564054985088101</v>
      </c>
      <c r="AK16">
        <v>1566.2484843474399</v>
      </c>
      <c r="AL16">
        <v>0.33843644781144699</v>
      </c>
      <c r="AM16">
        <v>1653.0003657607799</v>
      </c>
      <c r="AN16">
        <v>0.368665824915825</v>
      </c>
      <c r="AO16">
        <v>1766.78748045935</v>
      </c>
      <c r="AP16">
        <v>0.41606691919191902</v>
      </c>
      <c r="AQ16">
        <v>2452.9831734469999</v>
      </c>
      <c r="AR16">
        <v>0.15455663408367501</v>
      </c>
      <c r="AS16">
        <v>2475.0207587218101</v>
      </c>
      <c r="AT16">
        <v>0.26223458491389801</v>
      </c>
      <c r="AW16">
        <v>2060.8645682719698</v>
      </c>
      <c r="AX16">
        <v>0.50959229819488105</v>
      </c>
      <c r="AY16">
        <v>2228.4776840332302</v>
      </c>
      <c r="AZ16">
        <v>0.48958667052599802</v>
      </c>
      <c r="BA16">
        <v>2459.8821043265398</v>
      </c>
      <c r="BB16">
        <v>0.45698016181385998</v>
      </c>
      <c r="BC16">
        <v>2034.9678255496699</v>
      </c>
      <c r="BD16">
        <v>0.47397929984779202</v>
      </c>
      <c r="BE16">
        <v>2165.2854174306299</v>
      </c>
      <c r="BF16">
        <v>0.53304718417047103</v>
      </c>
      <c r="BG16">
        <v>2488.0449688804501</v>
      </c>
      <c r="BH16">
        <v>0.56046194824961904</v>
      </c>
      <c r="BJ16">
        <v>0</v>
      </c>
      <c r="BK16" t="s">
        <v>68</v>
      </c>
    </row>
    <row r="17" spans="1:63" x14ac:dyDescent="0.25">
      <c r="A17">
        <v>479.11123476448898</v>
      </c>
      <c r="B17">
        <v>0.41449864145716198</v>
      </c>
      <c r="C17">
        <v>511.646682457841</v>
      </c>
      <c r="D17">
        <v>0.43380130687338903</v>
      </c>
      <c r="E17">
        <v>557.83493457881195</v>
      </c>
      <c r="F17">
        <v>0.45045217014967898</v>
      </c>
      <c r="M17">
        <v>1081.9586659884501</v>
      </c>
      <c r="N17">
        <v>0.31505791977206199</v>
      </c>
      <c r="O17">
        <v>1108.8401486166699</v>
      </c>
      <c r="P17">
        <v>0.34030343338174202</v>
      </c>
      <c r="Q17">
        <v>1138.7763451799101</v>
      </c>
      <c r="R17">
        <v>0.376744473563286</v>
      </c>
      <c r="Y17">
        <v>1373.4462450753399</v>
      </c>
      <c r="Z17">
        <v>0.36077062151099498</v>
      </c>
      <c r="AA17">
        <v>1444.53677754762</v>
      </c>
      <c r="AB17">
        <v>0.34182486495268199</v>
      </c>
      <c r="AC17">
        <v>1508.4464481540101</v>
      </c>
      <c r="AD17">
        <v>0.35994906109960301</v>
      </c>
      <c r="AE17">
        <v>1980.8770392899801</v>
      </c>
      <c r="AF17">
        <v>0.215955301486598</v>
      </c>
      <c r="AK17">
        <v>1605.00799997327</v>
      </c>
      <c r="AL17">
        <v>0.291989337822671</v>
      </c>
      <c r="AM17">
        <v>1675.2507716049299</v>
      </c>
      <c r="AN17">
        <v>0.33968855218855198</v>
      </c>
      <c r="AO17">
        <v>1795.32843314093</v>
      </c>
      <c r="AP17">
        <v>0.38118686868686802</v>
      </c>
      <c r="AQ17">
        <v>2474.4016314209998</v>
      </c>
      <c r="AR17">
        <v>0.12555247224388499</v>
      </c>
      <c r="AS17">
        <v>2494.2992301395602</v>
      </c>
      <c r="AT17">
        <v>0.235960408819925</v>
      </c>
      <c r="AW17">
        <v>2123.1342453564598</v>
      </c>
      <c r="AX17">
        <v>0.470008038008769</v>
      </c>
      <c r="AY17">
        <v>2269.63185407629</v>
      </c>
      <c r="AZ17">
        <v>0.457027462403924</v>
      </c>
      <c r="BA17">
        <v>2486.9202535869199</v>
      </c>
      <c r="BB17">
        <v>0.42980758993642698</v>
      </c>
      <c r="BC17">
        <v>2108.2762287970399</v>
      </c>
      <c r="BD17">
        <v>0.44039921722113401</v>
      </c>
      <c r="BE17">
        <v>2235.1512776848399</v>
      </c>
      <c r="BF17">
        <v>0.50434297311009602</v>
      </c>
      <c r="BG17">
        <v>2551.3238995132301</v>
      </c>
      <c r="BH17">
        <v>0.53047848346478399</v>
      </c>
      <c r="BJ17">
        <v>0</v>
      </c>
      <c r="BK17" t="s">
        <v>69</v>
      </c>
    </row>
    <row r="18" spans="1:63" x14ac:dyDescent="0.25">
      <c r="A18">
        <v>499.32333319520899</v>
      </c>
      <c r="B18">
        <v>0.39159629276647401</v>
      </c>
      <c r="C18">
        <v>527.60718873386099</v>
      </c>
      <c r="D18">
        <v>0.41694804387590101</v>
      </c>
      <c r="E18">
        <v>574.467768174311</v>
      </c>
      <c r="F18">
        <v>0.43205348498929802</v>
      </c>
      <c r="M18">
        <v>1097.9653670079799</v>
      </c>
      <c r="N18">
        <v>0.27832498470339301</v>
      </c>
      <c r="O18">
        <v>1120.4480615697601</v>
      </c>
      <c r="P18">
        <v>0.316143700869633</v>
      </c>
      <c r="Q18">
        <v>1159.5483999380699</v>
      </c>
      <c r="R18">
        <v>0.33375204174157003</v>
      </c>
      <c r="Y18">
        <v>1389.2441411802899</v>
      </c>
      <c r="Z18">
        <v>0.32945682773061802</v>
      </c>
      <c r="AA18">
        <v>1459.61658746598</v>
      </c>
      <c r="AB18">
        <v>0.31213648917590597</v>
      </c>
      <c r="AC18">
        <v>1521.37199951261</v>
      </c>
      <c r="AD18">
        <v>0.32758681161970998</v>
      </c>
      <c r="AE18">
        <v>2001.8984331470699</v>
      </c>
      <c r="AF18">
        <v>0.19569985662504799</v>
      </c>
      <c r="AK18">
        <v>1632.82402396985</v>
      </c>
      <c r="AL18">
        <v>0.25526094276094202</v>
      </c>
      <c r="AM18">
        <v>1711.21427569344</v>
      </c>
      <c r="AN18">
        <v>0.29418350168350099</v>
      </c>
      <c r="AO18">
        <v>1820.5301670331401</v>
      </c>
      <c r="AP18">
        <v>0.35093193843193798</v>
      </c>
      <c r="AQ18">
        <v>2495.8200893950002</v>
      </c>
      <c r="AR18">
        <v>9.6548310404094603E-2</v>
      </c>
      <c r="AW18">
        <v>2168.7830687830601</v>
      </c>
      <c r="AX18">
        <v>0.43707897276976199</v>
      </c>
      <c r="AY18">
        <v>2307.9768657546401</v>
      </c>
      <c r="AZ18">
        <v>0.42618990335364598</v>
      </c>
      <c r="BA18">
        <v>2518.8744299855398</v>
      </c>
      <c r="BB18">
        <v>0.39502245300856398</v>
      </c>
      <c r="BC18">
        <v>2168.41500196986</v>
      </c>
      <c r="BD18">
        <v>0.41175907806044698</v>
      </c>
      <c r="BE18">
        <v>2294.02130036878</v>
      </c>
      <c r="BF18">
        <v>0.47961121983039701</v>
      </c>
      <c r="BG18">
        <v>2608.6079840860798</v>
      </c>
      <c r="BH18">
        <v>0.50260502283105002</v>
      </c>
      <c r="BJ18">
        <v>0</v>
      </c>
      <c r="BK18" t="s">
        <v>70</v>
      </c>
    </row>
    <row r="19" spans="1:63" x14ac:dyDescent="0.25">
      <c r="A19">
        <v>516.45980565184198</v>
      </c>
      <c r="B19">
        <v>0.37196676242286503</v>
      </c>
      <c r="C19">
        <v>541.46331934340003</v>
      </c>
      <c r="D19">
        <v>0.40020375182766899</v>
      </c>
      <c r="E19">
        <v>590.30352898251601</v>
      </c>
      <c r="F19">
        <v>0.41279346435688302</v>
      </c>
      <c r="M19">
        <v>1112.30215774303</v>
      </c>
      <c r="N19">
        <v>0.24825302307637401</v>
      </c>
      <c r="O19">
        <v>1135.51798364921</v>
      </c>
      <c r="P19">
        <v>0.28257782532626602</v>
      </c>
      <c r="Q19">
        <v>1175.4329124001999</v>
      </c>
      <c r="R19">
        <v>0.30110070552782903</v>
      </c>
      <c r="Y19">
        <v>1415.09524389748</v>
      </c>
      <c r="Z19">
        <v>0.27811893705399199</v>
      </c>
      <c r="AA19">
        <v>1479.7230006904599</v>
      </c>
      <c r="AB19">
        <v>0.264084555190013</v>
      </c>
      <c r="AC19">
        <v>1534.2975508712</v>
      </c>
      <c r="AD19">
        <v>0.29600074349358402</v>
      </c>
      <c r="AE19">
        <v>2024.0943419938101</v>
      </c>
      <c r="AF19">
        <v>0.17148266854154701</v>
      </c>
      <c r="AK19">
        <v>1658.65996272246</v>
      </c>
      <c r="AL19">
        <v>0.22148989898989899</v>
      </c>
      <c r="AM19">
        <v>1736.42714345839</v>
      </c>
      <c r="AN19">
        <v>0.26205808080808002</v>
      </c>
      <c r="AO19">
        <v>1846.48365027829</v>
      </c>
      <c r="AP19">
        <v>0.31801948051947998</v>
      </c>
      <c r="AW19">
        <v>2214.9000852704498</v>
      </c>
      <c r="AX19">
        <v>0.40187564818717297</v>
      </c>
      <c r="AY19">
        <v>2339.4394394394299</v>
      </c>
      <c r="AZ19">
        <v>0.397214451293398</v>
      </c>
      <c r="BA19">
        <v>2545.9125792459099</v>
      </c>
      <c r="BB19">
        <v>0.36504519870747898</v>
      </c>
      <c r="BC19">
        <v>2237.4604035746002</v>
      </c>
      <c r="BD19">
        <v>0.37750624048706199</v>
      </c>
      <c r="BE19">
        <v>2354.1600735416</v>
      </c>
      <c r="BF19">
        <v>0.45349391171993902</v>
      </c>
      <c r="BG19">
        <v>2660.56331660563</v>
      </c>
      <c r="BH19">
        <v>0.47505570776255601</v>
      </c>
      <c r="BJ19" t="str">
        <v>04SQ-ECM</v>
      </c>
      <c r="BK19" t="s">
        <v>71</v>
      </c>
    </row>
    <row r="20" spans="1:63" x14ac:dyDescent="0.25">
      <c r="A20">
        <v>532.91506591448501</v>
      </c>
      <c r="B20">
        <v>0.35025164120262098</v>
      </c>
      <c r="C20">
        <v>563.41787475359695</v>
      </c>
      <c r="D20">
        <v>0.37321000882016903</v>
      </c>
      <c r="E20">
        <v>611.90115813826003</v>
      </c>
      <c r="F20">
        <v>0.38422472650210499</v>
      </c>
      <c r="M20">
        <v>1124.1137182917901</v>
      </c>
      <c r="N20">
        <v>0.221133951586547</v>
      </c>
      <c r="O20">
        <v>1158.0821372492601</v>
      </c>
      <c r="P20">
        <v>0.23290478261617401</v>
      </c>
      <c r="Q20">
        <v>1190.09553928832</v>
      </c>
      <c r="R20">
        <v>0.269910944875698</v>
      </c>
      <c r="Y20">
        <v>1433.76548474879</v>
      </c>
      <c r="Z20">
        <v>0.23664657065307501</v>
      </c>
      <c r="AA20">
        <v>1491.2123796758799</v>
      </c>
      <c r="AB20">
        <v>0.23723112383737399</v>
      </c>
      <c r="AC20">
        <v>1547.2231022297999</v>
      </c>
      <c r="AD20">
        <v>0.263991303719949</v>
      </c>
      <c r="AE20">
        <v>2040.31261606526</v>
      </c>
      <c r="AF20">
        <v>0.156042914726988</v>
      </c>
      <c r="AK20">
        <v>1681.6795183982599</v>
      </c>
      <c r="AL20">
        <v>0.186931818181818</v>
      </c>
      <c r="AM20">
        <v>1760.90663580246</v>
      </c>
      <c r="AN20">
        <v>0.22950336700336699</v>
      </c>
      <c r="AO20">
        <v>1872.4456512402901</v>
      </c>
      <c r="AP20">
        <v>0.28367604617604603</v>
      </c>
      <c r="AW20">
        <v>2254.46239890684</v>
      </c>
      <c r="AX20">
        <v>0.37024075558432301</v>
      </c>
      <c r="AY20">
        <v>2368.9356022689299</v>
      </c>
      <c r="AZ20">
        <v>0.36930952882707202</v>
      </c>
      <c r="BA20">
        <v>2572.95072850628</v>
      </c>
      <c r="BB20">
        <v>0.33282419846747302</v>
      </c>
      <c r="BC20">
        <v>2307.0894304042199</v>
      </c>
      <c r="BD20">
        <v>0.34131202435312002</v>
      </c>
      <c r="BE20">
        <v>2432.5688537542601</v>
      </c>
      <c r="BF20">
        <v>0.41310458795390198</v>
      </c>
      <c r="BG20">
        <v>2716.5152131651498</v>
      </c>
      <c r="BH20">
        <v>0.44424353120243498</v>
      </c>
      <c r="BJ20">
        <v>0</v>
      </c>
      <c r="BK20" t="s">
        <v>72</v>
      </c>
    </row>
    <row r="21" spans="1:63" x14ac:dyDescent="0.25">
      <c r="A21">
        <v>548.46615482060702</v>
      </c>
      <c r="B21">
        <v>0.32914411209310301</v>
      </c>
      <c r="C21">
        <v>580.33802262462098</v>
      </c>
      <c r="D21">
        <v>0.34947576229347999</v>
      </c>
      <c r="E21">
        <v>627.74185910223696</v>
      </c>
      <c r="F21">
        <v>0.36162516056851601</v>
      </c>
      <c r="M21">
        <v>1138.7763451799101</v>
      </c>
      <c r="N21">
        <v>0.18539945542441799</v>
      </c>
      <c r="O21">
        <v>1173.23351836698</v>
      </c>
      <c r="P21">
        <v>0.19826704189427199</v>
      </c>
      <c r="Q21">
        <v>1209.64570847247</v>
      </c>
      <c r="R21">
        <v>0.22871303627200201</v>
      </c>
      <c r="Y21">
        <v>1449.56338085374</v>
      </c>
      <c r="Z21">
        <v>0.20195364390831599</v>
      </c>
      <c r="AA21">
        <v>1508.4464481540101</v>
      </c>
      <c r="AB21">
        <v>0.196598167102157</v>
      </c>
      <c r="AC21">
        <v>1561.58482596157</v>
      </c>
      <c r="AD21">
        <v>0.22696697940782201</v>
      </c>
      <c r="AK21">
        <v>1715.80873216289</v>
      </c>
      <c r="AL21">
        <v>0.14049663299663201</v>
      </c>
      <c r="AM21">
        <v>1784.6494876008701</v>
      </c>
      <c r="AN21">
        <v>0.19706790123456699</v>
      </c>
      <c r="AO21">
        <v>1898.4014667174299</v>
      </c>
      <c r="AP21">
        <v>0.25037177328844001</v>
      </c>
      <c r="AW21">
        <v>2286.5921477032498</v>
      </c>
      <c r="AX21">
        <v>0.34096940050430502</v>
      </c>
      <c r="AY21">
        <v>2401.7091165239299</v>
      </c>
      <c r="AZ21">
        <v>0.33495339881792102</v>
      </c>
      <c r="BA21">
        <v>2601.6275534793999</v>
      </c>
      <c r="BB21">
        <v>0.29881359185696399</v>
      </c>
      <c r="BC21">
        <v>2368.8141416881399</v>
      </c>
      <c r="BD21">
        <v>0.30767427701674199</v>
      </c>
      <c r="BE21">
        <v>2491.6418765164099</v>
      </c>
      <c r="BF21">
        <v>0.37804444444444402</v>
      </c>
      <c r="BG21">
        <v>2767.1383576713802</v>
      </c>
      <c r="BH21">
        <v>0.415987823439878</v>
      </c>
      <c r="BJ21">
        <v>0</v>
      </c>
      <c r="BK21" t="s">
        <v>73</v>
      </c>
    </row>
    <row r="22" spans="1:63" x14ac:dyDescent="0.25">
      <c r="A22">
        <v>562.53640328215101</v>
      </c>
      <c r="B22">
        <v>0.30990105004832902</v>
      </c>
      <c r="C22">
        <v>595.699032938497</v>
      </c>
      <c r="D22">
        <v>0.32733755201827902</v>
      </c>
      <c r="E22">
        <v>643.90639439245001</v>
      </c>
      <c r="F22">
        <v>0.335986605971274</v>
      </c>
      <c r="M22">
        <v>1157.71557157706</v>
      </c>
      <c r="N22">
        <v>0.14117002608409299</v>
      </c>
      <c r="O22">
        <v>1188.3848994847001</v>
      </c>
      <c r="P22">
        <v>0.16446832926652399</v>
      </c>
      <c r="Q22">
        <v>1224.30833536059</v>
      </c>
      <c r="R22">
        <v>0.19729021226038401</v>
      </c>
      <c r="Y22">
        <v>1465.36127695869</v>
      </c>
      <c r="Z22">
        <v>0.16299563982568299</v>
      </c>
      <c r="AA22">
        <v>1519.9358271394301</v>
      </c>
      <c r="AB22">
        <v>0.16656944839319601</v>
      </c>
      <c r="AC22">
        <v>1574.5103773201699</v>
      </c>
      <c r="AD22">
        <v>0.19378150727999399</v>
      </c>
      <c r="AK22">
        <v>1735.4795474587099</v>
      </c>
      <c r="AL22">
        <v>0.11216329966329899</v>
      </c>
      <c r="AM22">
        <v>1811.34855499438</v>
      </c>
      <c r="AN22">
        <v>0.16253367003367</v>
      </c>
      <c r="AO22">
        <v>1920.6547118005401</v>
      </c>
      <c r="AP22">
        <v>0.22091750841750801</v>
      </c>
      <c r="AW22">
        <v>2319.7753308864399</v>
      </c>
      <c r="AX22">
        <v>0.31152842169654998</v>
      </c>
      <c r="AY22">
        <v>2429.8943387832201</v>
      </c>
      <c r="AZ22">
        <v>0.30569791648373501</v>
      </c>
      <c r="BA22">
        <v>2622.11099988877</v>
      </c>
      <c r="BB22">
        <v>0.27274133142645501</v>
      </c>
      <c r="BC22">
        <v>2431.0463531676</v>
      </c>
      <c r="BD22">
        <v>0.26971167645140198</v>
      </c>
      <c r="BE22">
        <v>2541.7321458173201</v>
      </c>
      <c r="BF22">
        <v>0.34790502283105001</v>
      </c>
      <c r="BG22">
        <v>2833.7477583374698</v>
      </c>
      <c r="BH22">
        <v>0.375473025536952</v>
      </c>
      <c r="BJ22">
        <v>0</v>
      </c>
      <c r="BK22" t="s">
        <v>74</v>
      </c>
    </row>
    <row r="23" spans="1:63" x14ac:dyDescent="0.25">
      <c r="A23">
        <v>581.399558925767</v>
      </c>
      <c r="B23">
        <v>0.27949627033785601</v>
      </c>
      <c r="C23">
        <v>612.50303378302306</v>
      </c>
      <c r="D23">
        <v>0.30116631445185699</v>
      </c>
      <c r="E23">
        <v>660.15246461572997</v>
      </c>
      <c r="F23">
        <v>0.309198690589648</v>
      </c>
      <c r="M23">
        <v>1169.93442731715</v>
      </c>
      <c r="N23">
        <v>0.11463474436851399</v>
      </c>
      <c r="O23">
        <v>1208.42382289846</v>
      </c>
      <c r="P23">
        <v>0.118097771732853</v>
      </c>
      <c r="Q23">
        <v>1238.9709622487101</v>
      </c>
      <c r="R23">
        <v>0.16540126152979101</v>
      </c>
      <c r="Y23">
        <v>1482.59534543682</v>
      </c>
      <c r="Z23">
        <v>0.12059863455917599</v>
      </c>
      <c r="AA23">
        <v>1531.4252061248501</v>
      </c>
      <c r="AB23">
        <v>0.13465907791752499</v>
      </c>
      <c r="AC23">
        <v>1585.9997563055899</v>
      </c>
      <c r="AD23">
        <v>0.161047914156388</v>
      </c>
      <c r="AK23">
        <v>1758.9856067286601</v>
      </c>
      <c r="AL23">
        <v>7.8296857463524203E-2</v>
      </c>
      <c r="AM23">
        <v>1831.9533379429199</v>
      </c>
      <c r="AN23">
        <v>0.13183922558922501</v>
      </c>
      <c r="AO23">
        <v>1942.9132094757099</v>
      </c>
      <c r="AP23">
        <v>0.19058080808080799</v>
      </c>
      <c r="AW23">
        <v>2353.36818299781</v>
      </c>
      <c r="AX23">
        <v>0.27847635952229</v>
      </c>
      <c r="AY23">
        <v>2459.3905016127201</v>
      </c>
      <c r="AZ23">
        <v>0.27483124937803299</v>
      </c>
      <c r="BA23">
        <v>2644.2331220108999</v>
      </c>
      <c r="BB23">
        <v>0.24097534669172099</v>
      </c>
      <c r="BC23">
        <v>2481.28887252717</v>
      </c>
      <c r="BD23">
        <v>0.23607392911502401</v>
      </c>
      <c r="BE23">
        <v>2589.5132892284601</v>
      </c>
      <c r="BF23">
        <v>0.31709284627092799</v>
      </c>
      <c r="BG23">
        <v>2876.37777476377</v>
      </c>
      <c r="BH23">
        <v>0.348327897368993</v>
      </c>
      <c r="BJ23">
        <v>0</v>
      </c>
      <c r="BK23" t="s">
        <v>75</v>
      </c>
    </row>
    <row r="24" spans="1:63" x14ac:dyDescent="0.25">
      <c r="A24">
        <v>594.55477088278599</v>
      </c>
      <c r="B24">
        <v>0.25895393977422698</v>
      </c>
      <c r="C24">
        <v>628.51024645828397</v>
      </c>
      <c r="D24">
        <v>0.27394133962650002</v>
      </c>
      <c r="E24">
        <v>676.72203982152996</v>
      </c>
      <c r="F24">
        <v>0.27959442289778302</v>
      </c>
      <c r="M24">
        <v>1182.76422584426</v>
      </c>
      <c r="N24">
        <v>8.1342322291108202E-2</v>
      </c>
      <c r="O24">
        <v>1221.62018709777</v>
      </c>
      <c r="P24">
        <v>8.7090388816399106E-2</v>
      </c>
      <c r="Q24">
        <v>1258.5211314328601</v>
      </c>
      <c r="R24">
        <v>0.122105782690712</v>
      </c>
      <c r="Y24">
        <v>1494.08472442224</v>
      </c>
      <c r="Z24">
        <v>9.3274790264859603E-2</v>
      </c>
      <c r="AA24">
        <v>1542.43586098587</v>
      </c>
      <c r="AB24">
        <v>0.10557284732846201</v>
      </c>
      <c r="AC24">
        <v>1594.61679054465</v>
      </c>
      <c r="AD24">
        <v>0.13455726592926501</v>
      </c>
      <c r="AK24">
        <v>1787.07306196889</v>
      </c>
      <c r="AL24">
        <v>3.7180134680134702E-2</v>
      </c>
      <c r="AM24">
        <v>1851.44826238576</v>
      </c>
      <c r="AN24">
        <v>0.102146464646464</v>
      </c>
      <c r="AO24">
        <v>1961.47842512425</v>
      </c>
      <c r="AP24">
        <v>0.16253367003367</v>
      </c>
      <c r="AW24">
        <v>2381.2256701145502</v>
      </c>
      <c r="AX24">
        <v>0.25040898445960602</v>
      </c>
      <c r="AY24">
        <v>2486.9202535869199</v>
      </c>
      <c r="AZ24">
        <v>0.242791365927331</v>
      </c>
      <c r="BA24">
        <v>2668.8132577021402</v>
      </c>
      <c r="BB24">
        <v>0.20802826218030901</v>
      </c>
      <c r="BC24">
        <v>2538.0020193800201</v>
      </c>
      <c r="BD24">
        <v>0.19650152207001501</v>
      </c>
      <c r="BE24">
        <v>2650.2864376457201</v>
      </c>
      <c r="BF24">
        <v>0.275285931724287</v>
      </c>
      <c r="BG24">
        <v>2927.0009192699999</v>
      </c>
      <c r="BH24">
        <v>0.31440182648401799</v>
      </c>
      <c r="BJ24">
        <v>0</v>
      </c>
      <c r="BK24" t="s">
        <v>76</v>
      </c>
    </row>
    <row r="25" spans="1:63" x14ac:dyDescent="0.25">
      <c r="A25">
        <v>612.27741503927598</v>
      </c>
      <c r="B25">
        <v>0.22701791855846401</v>
      </c>
      <c r="C25">
        <v>642.51743808616095</v>
      </c>
      <c r="D25">
        <v>0.24952424362609499</v>
      </c>
      <c r="E25">
        <v>691.85521899473702</v>
      </c>
      <c r="F25">
        <v>0.249565301809614</v>
      </c>
      <c r="M25">
        <v>1197.0195575410401</v>
      </c>
      <c r="N25">
        <v>4.9918366903958698E-2</v>
      </c>
      <c r="O25">
        <v>1236.7715682154901</v>
      </c>
      <c r="P25">
        <v>5.27323241258821E-2</v>
      </c>
      <c r="Q25">
        <v>1273.1837583209799</v>
      </c>
      <c r="R25">
        <v>8.9517641881659005E-2</v>
      </c>
      <c r="Y25">
        <v>1509.8826205271901</v>
      </c>
      <c r="Z25">
        <v>5.0177152295465897E-2</v>
      </c>
      <c r="AA25">
        <v>1554.4039640956901</v>
      </c>
      <c r="AB25">
        <v>7.2602385497475094E-2</v>
      </c>
      <c r="AC25">
        <v>1608.9785142764299</v>
      </c>
      <c r="AD25">
        <v>9.5345521438338507E-2</v>
      </c>
      <c r="AK25">
        <v>1811.5427589385899</v>
      </c>
      <c r="AL25">
        <v>6.27104377104381E-3</v>
      </c>
      <c r="AM25">
        <v>1875.5874719416299</v>
      </c>
      <c r="AN25">
        <v>6.4941077441077397E-2</v>
      </c>
      <c r="AO25">
        <v>1980.0504549462801</v>
      </c>
      <c r="AP25">
        <v>0.13334175084175001</v>
      </c>
      <c r="AW25">
        <v>2415.1462573684698</v>
      </c>
      <c r="AX25">
        <v>0.214104568750036</v>
      </c>
      <c r="AY25">
        <v>2517.6454232009701</v>
      </c>
      <c r="AZ25">
        <v>0.20609500216590801</v>
      </c>
      <c r="BA25">
        <v>2686.0193526860098</v>
      </c>
      <c r="BB25">
        <v>0.18510890276241099</v>
      </c>
      <c r="BC25">
        <v>2580.0991606009902</v>
      </c>
      <c r="BD25">
        <v>0.163570167427701</v>
      </c>
      <c r="BE25">
        <v>2691.2036409120301</v>
      </c>
      <c r="BF25">
        <v>0.24712633181126301</v>
      </c>
      <c r="BG25">
        <v>2972.2953117229499</v>
      </c>
      <c r="BH25">
        <v>0.282333840690004</v>
      </c>
      <c r="BJ25" t="str">
        <v>04SQ-PSC</v>
      </c>
      <c r="BK25" t="s">
        <v>77</v>
      </c>
    </row>
    <row r="26" spans="1:63" x14ac:dyDescent="0.25">
      <c r="A26">
        <v>629.57055839366296</v>
      </c>
      <c r="B26">
        <v>0.19399586813551001</v>
      </c>
      <c r="C26">
        <v>659.57226619152198</v>
      </c>
      <c r="D26">
        <v>0.215698539640444</v>
      </c>
      <c r="E26">
        <v>709.15218639562897</v>
      </c>
      <c r="F26">
        <v>0.21395819594982499</v>
      </c>
      <c r="M26">
        <v>1210.86759404648</v>
      </c>
      <c r="N26">
        <v>1.5463456467946101E-2</v>
      </c>
      <c r="O26">
        <v>1252.4117035628101</v>
      </c>
      <c r="P26">
        <v>1.8026022046772099E-2</v>
      </c>
      <c r="Q26">
        <v>1287.8463852090999</v>
      </c>
      <c r="R26">
        <v>5.6230310994144397E-2</v>
      </c>
      <c r="Y26">
        <v>1522.80817188578</v>
      </c>
      <c r="Z26">
        <v>1.4851301283005901E-2</v>
      </c>
      <c r="AA26">
        <v>1565.8933430811001</v>
      </c>
      <c r="AB26">
        <v>4.1515237669739899E-2</v>
      </c>
      <c r="AC26">
        <v>1620.4678932618399</v>
      </c>
      <c r="AD26">
        <v>6.1788705666797498E-2</v>
      </c>
      <c r="AM26">
        <v>1899.7330697851501</v>
      </c>
      <c r="AN26">
        <v>2.6662457912457901E-2</v>
      </c>
      <c r="AO26">
        <v>2007.8903285500501</v>
      </c>
      <c r="AP26">
        <v>9.2606621773288406E-2</v>
      </c>
      <c r="AW26">
        <v>2443.9050161272298</v>
      </c>
      <c r="AX26">
        <v>0.18431247402373099</v>
      </c>
      <c r="AY26">
        <v>2540.9965521076601</v>
      </c>
      <c r="AZ26">
        <v>0.177631366746863</v>
      </c>
      <c r="BA26">
        <v>2710.5994883772601</v>
      </c>
      <c r="BB26">
        <v>0.14626076643163599</v>
      </c>
      <c r="BC26">
        <v>2624.8606778486001</v>
      </c>
      <c r="BD26">
        <v>0.128586910197868</v>
      </c>
      <c r="BE26">
        <v>2735.5464704983201</v>
      </c>
      <c r="BF26">
        <v>0.21454577081974299</v>
      </c>
      <c r="BG26">
        <v>3025.58283225582</v>
      </c>
      <c r="BH26">
        <v>0.24510806697108001</v>
      </c>
      <c r="BJ26">
        <v>0</v>
      </c>
      <c r="BK26" t="s">
        <v>78</v>
      </c>
    </row>
    <row r="27" spans="1:63" x14ac:dyDescent="0.25">
      <c r="A27">
        <v>645.76083331853397</v>
      </c>
      <c r="B27">
        <v>0.16175097130386501</v>
      </c>
      <c r="C27">
        <v>675.42797059154304</v>
      </c>
      <c r="D27">
        <v>0.18295665094032401</v>
      </c>
      <c r="E27">
        <v>723.57004931007305</v>
      </c>
      <c r="F27">
        <v>0.18176858007115301</v>
      </c>
      <c r="Q27">
        <v>1305.19716036004</v>
      </c>
      <c r="R27">
        <v>1.8522243354883901E-2</v>
      </c>
      <c r="AA27">
        <v>1577.38272206652</v>
      </c>
      <c r="AB27">
        <v>1.1486518960778701E-2</v>
      </c>
      <c r="AC27">
        <v>1631.9572722472601</v>
      </c>
      <c r="AD27">
        <v>2.50566025389347E-2</v>
      </c>
      <c r="AM27">
        <v>1910.85081970498</v>
      </c>
      <c r="AN27">
        <v>1.34259259259259E-2</v>
      </c>
      <c r="AO27">
        <v>2028.30843153759</v>
      </c>
      <c r="AP27">
        <v>6.2365319865319901E-2</v>
      </c>
      <c r="AW27">
        <v>2469.7141586030398</v>
      </c>
      <c r="AX27">
        <v>0.152835346311223</v>
      </c>
      <c r="AY27">
        <v>2570.4927149371501</v>
      </c>
      <c r="AZ27">
        <v>0.13841796474837401</v>
      </c>
      <c r="BA27">
        <v>2730.2635969302601</v>
      </c>
      <c r="BB27">
        <v>0.11726894109021301</v>
      </c>
      <c r="BC27">
        <v>2660.1826914589701</v>
      </c>
      <c r="BD27">
        <v>0.100946292672319</v>
      </c>
      <c r="BE27">
        <v>2781.3483631468098</v>
      </c>
      <c r="BF27">
        <v>0.181196347031963</v>
      </c>
      <c r="BG27">
        <v>3065.5484726554801</v>
      </c>
      <c r="BH27">
        <v>0.21500228310502201</v>
      </c>
      <c r="BJ27">
        <v>0</v>
      </c>
      <c r="BK27" t="s">
        <v>79</v>
      </c>
    </row>
    <row r="28" spans="1:63" x14ac:dyDescent="0.25">
      <c r="A28">
        <v>663.381525264424</v>
      </c>
      <c r="B28">
        <v>0.123179088898228</v>
      </c>
      <c r="C28">
        <v>689.63879589045996</v>
      </c>
      <c r="D28">
        <v>0.151948952953741</v>
      </c>
      <c r="E28">
        <v>737.26814169361705</v>
      </c>
      <c r="F28">
        <v>0.15042955736694499</v>
      </c>
      <c r="AC28">
        <v>1640.57430648633</v>
      </c>
      <c r="AD28">
        <v>3.8580999056812E-3</v>
      </c>
      <c r="AO28">
        <v>2050.59004872993</v>
      </c>
      <c r="AP28">
        <v>2.8144540644540601E-2</v>
      </c>
      <c r="AW28">
        <v>2498.3909835761601</v>
      </c>
      <c r="AX28">
        <v>0.121666817890014</v>
      </c>
      <c r="AY28">
        <v>2593.4341749156501</v>
      </c>
      <c r="AZ28">
        <v>0.106572404519529</v>
      </c>
      <c r="BA28">
        <v>2749.9277054832601</v>
      </c>
      <c r="BB28">
        <v>8.7043055482383197E-2</v>
      </c>
      <c r="BC28">
        <v>2698.7527063208599</v>
      </c>
      <c r="BD28">
        <v>7.0640284119735997E-2</v>
      </c>
      <c r="BE28">
        <v>2825.22175505221</v>
      </c>
      <c r="BF28">
        <v>0.147693150684931</v>
      </c>
      <c r="BG28">
        <v>3109.95473976621</v>
      </c>
      <c r="BH28">
        <v>0.18007508878741699</v>
      </c>
      <c r="BJ28">
        <v>0</v>
      </c>
      <c r="BK28" t="s">
        <v>80</v>
      </c>
    </row>
    <row r="29" spans="1:63" x14ac:dyDescent="0.25">
      <c r="A29">
        <v>679.26527906152705</v>
      </c>
      <c r="B29">
        <v>8.6895308904649901E-2</v>
      </c>
      <c r="C29">
        <v>703.43986598078504</v>
      </c>
      <c r="D29">
        <v>0.12038475556799499</v>
      </c>
      <c r="E29">
        <v>749.04765851146306</v>
      </c>
      <c r="F29">
        <v>0.12080952183633099</v>
      </c>
      <c r="AW29">
        <v>2523.79045712379</v>
      </c>
      <c r="AX29">
        <v>8.5850433767100498E-2</v>
      </c>
      <c r="AY29">
        <v>2616.3756348941502</v>
      </c>
      <c r="AZ29">
        <v>7.5833758953885805E-2</v>
      </c>
      <c r="BA29">
        <v>2769.5918140362501</v>
      </c>
      <c r="BB29">
        <v>5.6031858795930603E-2</v>
      </c>
      <c r="BC29">
        <v>2741.6364728449298</v>
      </c>
      <c r="BD29">
        <v>3.3478582300499701E-2</v>
      </c>
      <c r="BE29">
        <v>2864.8321453149802</v>
      </c>
      <c r="BF29">
        <v>0.11706037544393599</v>
      </c>
      <c r="BG29">
        <v>3148.1441294814399</v>
      </c>
      <c r="BH29">
        <v>0.14976908023483301</v>
      </c>
      <c r="BJ29">
        <v>0</v>
      </c>
      <c r="BK29" t="s">
        <v>81</v>
      </c>
    </row>
    <row r="30" spans="1:63" x14ac:dyDescent="0.25">
      <c r="A30">
        <v>689.68899728291399</v>
      </c>
      <c r="B30">
        <v>6.2502607573506105E-2</v>
      </c>
      <c r="C30">
        <v>719.94842568859406</v>
      </c>
      <c r="D30">
        <v>7.99861481906812E-2</v>
      </c>
      <c r="E30">
        <v>761.06874996300201</v>
      </c>
      <c r="F30">
        <v>8.9789795833801797E-2</v>
      </c>
      <c r="AW30">
        <v>2548.3705928150298</v>
      </c>
      <c r="AX30">
        <v>5.5752906598118802E-2</v>
      </c>
      <c r="AY30">
        <v>2636.8590813035198</v>
      </c>
      <c r="AZ30">
        <v>4.7069003396671701E-2</v>
      </c>
      <c r="BA30">
        <v>2784.3398954509998</v>
      </c>
      <c r="BB30">
        <v>3.1960103378232102E-2</v>
      </c>
      <c r="BC30">
        <v>2769.8027336980199</v>
      </c>
      <c r="BD30">
        <v>9.6438356164379995E-3</v>
      </c>
      <c r="BE30">
        <v>2904.0872854408699</v>
      </c>
      <c r="BF30">
        <v>8.2301369863013396E-2</v>
      </c>
      <c r="BG30">
        <v>3182.78101782781</v>
      </c>
      <c r="BH30">
        <v>0.121769660071029</v>
      </c>
      <c r="BJ30">
        <v>0</v>
      </c>
      <c r="BK30" t="s">
        <v>82</v>
      </c>
    </row>
    <row r="31" spans="1:63" x14ac:dyDescent="0.25">
      <c r="A31">
        <v>701.51845033376503</v>
      </c>
      <c r="B31">
        <v>3.1506630912423603E-2</v>
      </c>
      <c r="C31">
        <v>732.49255613238495</v>
      </c>
      <c r="D31">
        <v>4.8113151861664399E-2</v>
      </c>
      <c r="E31">
        <v>771.887998227509</v>
      </c>
      <c r="F31">
        <v>6.1692254741369301E-2</v>
      </c>
      <c r="AW31">
        <v>2565.5766877989099</v>
      </c>
      <c r="AX31">
        <v>3.0342989188018501E-2</v>
      </c>
      <c r="AY31">
        <v>2651.60716271827</v>
      </c>
      <c r="AZ31">
        <v>2.4119120948433999E-2</v>
      </c>
      <c r="BE31">
        <v>2938.1912985819099</v>
      </c>
      <c r="BF31">
        <v>5.2700152207001097E-2</v>
      </c>
      <c r="BG31">
        <v>3228.07541028075</v>
      </c>
      <c r="BH31">
        <v>8.3070232659273394E-2</v>
      </c>
      <c r="BJ31" t="str">
        <v>05SQ-ECM</v>
      </c>
      <c r="BK31" t="s">
        <v>83</v>
      </c>
    </row>
    <row r="32" spans="1:63" x14ac:dyDescent="0.25">
      <c r="A32">
        <v>712.33681207120003</v>
      </c>
      <c r="B32">
        <v>4.0083821205105698E-3</v>
      </c>
      <c r="C32">
        <v>744.89487818497798</v>
      </c>
      <c r="D32">
        <v>1.38033082540602E-2</v>
      </c>
      <c r="E32">
        <v>782.710840520685</v>
      </c>
      <c r="F32">
        <v>3.11651502684526E-2</v>
      </c>
      <c r="BE32">
        <v>2971.2295613122901</v>
      </c>
      <c r="BF32">
        <v>2.1484322678842802E-2</v>
      </c>
      <c r="BG32">
        <v>3262.7122986271202</v>
      </c>
      <c r="BH32">
        <v>5.2700152207001097E-2</v>
      </c>
      <c r="BJ32">
        <v>0</v>
      </c>
    </row>
    <row r="33" spans="5:62" x14ac:dyDescent="0.25">
      <c r="E33">
        <v>792.08891204100996</v>
      </c>
      <c r="F33">
        <v>5.87451681455741E-3</v>
      </c>
      <c r="BE33">
        <v>2988.2815678828101</v>
      </c>
      <c r="BF33">
        <v>9.6438356164379995E-3</v>
      </c>
      <c r="BG33">
        <v>3296.4610616312698</v>
      </c>
      <c r="BH33">
        <v>2.3323186199898101E-2</v>
      </c>
      <c r="BJ33">
        <v>0</v>
      </c>
    </row>
    <row r="34" spans="5:62" x14ac:dyDescent="0.25">
      <c r="BG34">
        <v>3318.66419518664</v>
      </c>
      <c r="BH34">
        <v>6.9528158295278902E-3</v>
      </c>
      <c r="BJ34">
        <v>0</v>
      </c>
    </row>
    <row r="35" spans="5:62" x14ac:dyDescent="0.25">
      <c r="BJ35">
        <v>0</v>
      </c>
    </row>
    <row r="36" spans="5:62" x14ac:dyDescent="0.25">
      <c r="BJ36">
        <v>0</v>
      </c>
    </row>
    <row r="37" spans="5:62" x14ac:dyDescent="0.25">
      <c r="BJ37" t="str">
        <v>05SQ-PSC</v>
      </c>
    </row>
    <row r="38" spans="5:62" x14ac:dyDescent="0.25">
      <c r="BJ38">
        <v>0</v>
      </c>
    </row>
    <row r="39" spans="5:62" x14ac:dyDescent="0.25">
      <c r="BJ39">
        <v>0</v>
      </c>
    </row>
    <row r="40" spans="5:62" x14ac:dyDescent="0.25">
      <c r="BJ40">
        <v>0</v>
      </c>
    </row>
    <row r="41" spans="5:62" x14ac:dyDescent="0.25">
      <c r="BJ41">
        <v>0</v>
      </c>
    </row>
    <row r="42" spans="5:62" x14ac:dyDescent="0.25">
      <c r="BJ42">
        <v>0</v>
      </c>
    </row>
    <row r="43" spans="5:62" x14ac:dyDescent="0.25">
      <c r="BJ43" t="str">
        <v>06SQ-ECM</v>
      </c>
    </row>
    <row r="44" spans="5:62" x14ac:dyDescent="0.25">
      <c r="BJ44">
        <v>0</v>
      </c>
    </row>
    <row r="45" spans="5:62" x14ac:dyDescent="0.25">
      <c r="BJ45">
        <v>0</v>
      </c>
    </row>
    <row r="46" spans="5:62" x14ac:dyDescent="0.25">
      <c r="BJ46">
        <v>0</v>
      </c>
    </row>
    <row r="47" spans="5:62" x14ac:dyDescent="0.25">
      <c r="BJ47">
        <v>0</v>
      </c>
    </row>
    <row r="48" spans="5:62" x14ac:dyDescent="0.25">
      <c r="BJ48">
        <v>0</v>
      </c>
    </row>
    <row r="49" spans="62:62" x14ac:dyDescent="0.25">
      <c r="BJ49" t="str">
        <v>06SQ-PSC</v>
      </c>
    </row>
    <row r="50" spans="62:62" x14ac:dyDescent="0.25">
      <c r="BJ50">
        <v>0</v>
      </c>
    </row>
    <row r="51" spans="62:62" x14ac:dyDescent="0.25">
      <c r="BJ51">
        <v>0</v>
      </c>
    </row>
    <row r="52" spans="62:62" x14ac:dyDescent="0.25">
      <c r="BJ52">
        <v>0</v>
      </c>
    </row>
    <row r="53" spans="62:62" x14ac:dyDescent="0.25">
      <c r="BJ53">
        <v>0</v>
      </c>
    </row>
    <row r="54" spans="62:62" x14ac:dyDescent="0.25">
      <c r="BJ54">
        <v>0</v>
      </c>
    </row>
    <row r="55" spans="62:62" x14ac:dyDescent="0.25">
      <c r="BJ55" t="str">
        <v>07SQ-PSC</v>
      </c>
    </row>
    <row r="56" spans="62:62" x14ac:dyDescent="0.25">
      <c r="BJ56">
        <v>0</v>
      </c>
    </row>
    <row r="57" spans="62:62" x14ac:dyDescent="0.25">
      <c r="BJ57">
        <v>0</v>
      </c>
    </row>
    <row r="58" spans="62:62" x14ac:dyDescent="0.25">
      <c r="BJ58">
        <v>0</v>
      </c>
    </row>
    <row r="59" spans="62:62" x14ac:dyDescent="0.25">
      <c r="BJ59">
        <v>0</v>
      </c>
    </row>
    <row r="60" spans="62:62" x14ac:dyDescent="0.25">
      <c r="BJ60">
        <v>0</v>
      </c>
    </row>
  </sheetData>
  <mergeCells count="40">
    <mergeCell ref="A1:F1"/>
    <mergeCell ref="A2:B2"/>
    <mergeCell ref="C2:D2"/>
    <mergeCell ref="E2:F2"/>
    <mergeCell ref="G2:H2"/>
    <mergeCell ref="Q2:R2"/>
    <mergeCell ref="S2:T2"/>
    <mergeCell ref="U2:V2"/>
    <mergeCell ref="G1:L1"/>
    <mergeCell ref="K2:L2"/>
    <mergeCell ref="M1:R1"/>
    <mergeCell ref="M2:N2"/>
    <mergeCell ref="O2:P2"/>
    <mergeCell ref="I2:J2"/>
    <mergeCell ref="W2:X2"/>
    <mergeCell ref="S1:X1"/>
    <mergeCell ref="Y2:Z2"/>
    <mergeCell ref="AA2:AB2"/>
    <mergeCell ref="AC2:AD2"/>
    <mergeCell ref="Y1:AD1"/>
    <mergeCell ref="AE2:AF2"/>
    <mergeCell ref="AG2:AH2"/>
    <mergeCell ref="AI2:AJ2"/>
    <mergeCell ref="AE1:AJ1"/>
    <mergeCell ref="AK2:AL2"/>
    <mergeCell ref="AO2:AP2"/>
    <mergeCell ref="AK1:AP1"/>
    <mergeCell ref="AQ2:AR2"/>
    <mergeCell ref="AS2:AT2"/>
    <mergeCell ref="AU2:AV2"/>
    <mergeCell ref="AQ1:AV1"/>
    <mergeCell ref="AM2:AN2"/>
    <mergeCell ref="BG2:BH2"/>
    <mergeCell ref="BC1:BH1"/>
    <mergeCell ref="AW2:AX2"/>
    <mergeCell ref="AY2:AZ2"/>
    <mergeCell ref="BA2:BB2"/>
    <mergeCell ref="AW1:BB1"/>
    <mergeCell ref="BC2:BD2"/>
    <mergeCell ref="BE2:B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9931-7223-4419-8A59-1129D41D318D}">
  <sheetPr codeName="Sheet5"/>
  <dimension ref="A1:T128"/>
  <sheetViews>
    <sheetView workbookViewId="0">
      <selection activeCell="N9" sqref="N9"/>
    </sheetView>
  </sheetViews>
  <sheetFormatPr defaultRowHeight="15" x14ac:dyDescent="0.25"/>
  <cols>
    <col min="18" max="18" width="13.5703125" bestFit="1" customWidth="1"/>
  </cols>
  <sheetData>
    <row r="1" spans="1:20" x14ac:dyDescent="0.25">
      <c r="A1" t="s">
        <v>26</v>
      </c>
      <c r="C1" t="s">
        <v>27</v>
      </c>
      <c r="E1" t="s">
        <v>28</v>
      </c>
      <c r="G1" t="s">
        <v>29</v>
      </c>
      <c r="I1" t="s">
        <v>30</v>
      </c>
      <c r="K1" t="s">
        <v>31</v>
      </c>
      <c r="M1" t="s">
        <v>32</v>
      </c>
      <c r="O1" t="s">
        <v>33</v>
      </c>
      <c r="S1" t="s">
        <v>24</v>
      </c>
      <c r="T1" t="s">
        <v>25</v>
      </c>
    </row>
    <row r="2" spans="1:20" x14ac:dyDescent="0.25">
      <c r="A2" t="s">
        <v>4</v>
      </c>
      <c r="B2" t="s">
        <v>5</v>
      </c>
      <c r="C2" t="s">
        <v>4</v>
      </c>
      <c r="D2" t="s">
        <v>5</v>
      </c>
      <c r="E2" t="s">
        <v>4</v>
      </c>
      <c r="F2" t="s">
        <v>5</v>
      </c>
      <c r="G2" t="s">
        <v>4</v>
      </c>
      <c r="H2" t="s">
        <v>5</v>
      </c>
      <c r="I2" t="s">
        <v>4</v>
      </c>
      <c r="J2" t="s">
        <v>5</v>
      </c>
      <c r="K2" t="s">
        <v>4</v>
      </c>
      <c r="L2" t="s">
        <v>5</v>
      </c>
      <c r="M2" t="s">
        <v>4</v>
      </c>
      <c r="N2" t="s">
        <v>5</v>
      </c>
      <c r="O2" t="s">
        <v>4</v>
      </c>
      <c r="P2" t="s">
        <v>5</v>
      </c>
      <c r="R2" t="s">
        <v>26</v>
      </c>
      <c r="S2" cm="1">
        <f t="array" ref="S2">EXP(INDEX(LINEST(LN(B3:B26),LN(A3:A26),,),1,2))</f>
        <v>55.169872830021291</v>
      </c>
      <c r="T2" cm="1">
        <f t="array" ref="T2">INDEX(LINEST(LN(B3:B26), LN(A3:A26),,),1)</f>
        <v>0.21553927634717698</v>
      </c>
    </row>
    <row r="3" spans="1:20" x14ac:dyDescent="0.25">
      <c r="A3">
        <v>2.9136019630436301</v>
      </c>
      <c r="B3">
        <v>69.295385596025994</v>
      </c>
      <c r="C3">
        <v>2.9871050848495702</v>
      </c>
      <c r="D3">
        <v>63.294028573077</v>
      </c>
      <c r="E3">
        <v>3.07547139716287</v>
      </c>
      <c r="F3">
        <v>56.254147390103398</v>
      </c>
      <c r="G3">
        <v>4.9613161052349897</v>
      </c>
      <c r="H3">
        <v>40.767441732675003</v>
      </c>
      <c r="I3">
        <v>4.8678792774100597</v>
      </c>
      <c r="J3">
        <v>31.765782250686101</v>
      </c>
      <c r="K3">
        <v>4.8145808052000696</v>
      </c>
      <c r="L3">
        <v>26.044187829183201</v>
      </c>
      <c r="M3">
        <v>4.9744762218300496</v>
      </c>
      <c r="N3">
        <v>23.1587992383966</v>
      </c>
      <c r="O3">
        <v>4.8678792774100597</v>
      </c>
      <c r="P3">
        <v>15.8688212457654</v>
      </c>
      <c r="R3" t="s">
        <v>27</v>
      </c>
      <c r="S3" cm="1">
        <f t="array" ref="S3">EXP(INDEX(LINEST(LN(D3:D27),LN(C3:C27),,),1,2))</f>
        <v>47.311084382427751</v>
      </c>
      <c r="T3" cm="1">
        <f t="array" ref="T3">INDEX(LINEST(LN(D3:D27), LN(C3:C27),,),1)</f>
        <v>0.26220325019019242</v>
      </c>
    </row>
    <row r="4" spans="1:20" x14ac:dyDescent="0.25">
      <c r="A4">
        <v>3.1682502191580499</v>
      </c>
      <c r="B4">
        <v>70.572707559212503</v>
      </c>
      <c r="C4">
        <v>3.2679900501942898</v>
      </c>
      <c r="D4">
        <v>64.221911570300804</v>
      </c>
      <c r="E4">
        <v>3.2922431927021298</v>
      </c>
      <c r="F4">
        <v>57.577363142779397</v>
      </c>
      <c r="G4">
        <v>5.2294534808593403</v>
      </c>
      <c r="H4">
        <v>41.905931549115401</v>
      </c>
      <c r="I4">
        <v>5.1926571022218404</v>
      </c>
      <c r="J4">
        <v>33.006855991639497</v>
      </c>
      <c r="K4">
        <v>5.1746979957406101</v>
      </c>
      <c r="L4">
        <v>27.379668912148301</v>
      </c>
      <c r="M4">
        <v>5.2572542271664098</v>
      </c>
      <c r="N4">
        <v>24.049553670779598</v>
      </c>
      <c r="O4">
        <v>5.2043082580795001</v>
      </c>
      <c r="P4">
        <v>17.077311921776602</v>
      </c>
      <c r="R4" t="s">
        <v>28</v>
      </c>
      <c r="S4" cm="1">
        <f t="array" ref="S4">EXP(INDEX(LINEST(LN(F3:F30),LN(E3:E30),,),1,2))</f>
        <v>39.343281660597576</v>
      </c>
      <c r="T4" cm="1">
        <f t="array" ref="T4">INDEX(LINEST(LN(F3:F30), LN(E3:E30),,),1)</f>
        <v>0.32907140471983914</v>
      </c>
    </row>
    <row r="5" spans="1:20" x14ac:dyDescent="0.25">
      <c r="A5">
        <v>3.42951723979527</v>
      </c>
      <c r="B5">
        <v>71.766375119074098</v>
      </c>
      <c r="C5">
        <v>3.5350884692453501</v>
      </c>
      <c r="D5">
        <v>65.634227875764907</v>
      </c>
      <c r="E5">
        <v>3.2570810061747002</v>
      </c>
      <c r="F5">
        <v>56.165895996636998</v>
      </c>
      <c r="G5">
        <v>5.4778506815911001</v>
      </c>
      <c r="H5">
        <v>43.234928661506899</v>
      </c>
      <c r="I5">
        <v>5.4534657596649598</v>
      </c>
      <c r="J5">
        <v>34.358324472688601</v>
      </c>
      <c r="K5">
        <v>5.4716169421513401</v>
      </c>
      <c r="L5">
        <v>28.583283770118602</v>
      </c>
      <c r="M5">
        <v>5.5370712062688696</v>
      </c>
      <c r="N5">
        <v>25.326483848899201</v>
      </c>
      <c r="O5">
        <v>5.5145110063916301</v>
      </c>
      <c r="P5">
        <v>18.388852190316001</v>
      </c>
      <c r="R5" t="s">
        <v>29</v>
      </c>
      <c r="S5" cm="1">
        <f t="array" ref="S5">EXP(INDEX(LINEST(LN(H3:H50),LN(G3:G50),,),1,2))</f>
        <v>21.749334983264035</v>
      </c>
      <c r="T5" cm="1">
        <f t="array" ref="T5">INDEX(LINEST(LN(H3:H50), LN(G3:G50),,),1)</f>
        <v>0.42546555969111727</v>
      </c>
    </row>
    <row r="6" spans="1:20" x14ac:dyDescent="0.25">
      <c r="A6">
        <v>3.6716246789191</v>
      </c>
      <c r="B6">
        <v>72.995751821289304</v>
      </c>
      <c r="C6">
        <v>3.8134422511737598</v>
      </c>
      <c r="D6">
        <v>66.823667251509505</v>
      </c>
      <c r="E6">
        <v>3.4919890873965298</v>
      </c>
      <c r="F6">
        <v>59.1148318361493</v>
      </c>
      <c r="G6">
        <v>5.72624788232286</v>
      </c>
      <c r="H6">
        <v>44.553299868944798</v>
      </c>
      <c r="I6">
        <v>5.7095074398894399</v>
      </c>
      <c r="J6">
        <v>35.676293860191301</v>
      </c>
      <c r="K6">
        <v>5.7350898356601698</v>
      </c>
      <c r="L6">
        <v>29.820916361401199</v>
      </c>
      <c r="M6">
        <v>5.8097973067586102</v>
      </c>
      <c r="N6">
        <v>26.546944932123299</v>
      </c>
      <c r="O6">
        <v>5.8101436256163703</v>
      </c>
      <c r="P6">
        <v>19.4800675724737</v>
      </c>
      <c r="R6" t="s">
        <v>30</v>
      </c>
      <c r="S6" cm="1">
        <f t="array" ref="S6">EXP(INDEX(LINEST(LN(J3:J86),LN(I3:I86),,),1,2))</f>
        <v>18.5324257507604</v>
      </c>
      <c r="T6" cm="1">
        <f t="array" ref="T6">INDEX(LINEST(LN(I3:I86), LN(J3:J86),,),1)</f>
        <v>2.2590397166051179</v>
      </c>
    </row>
    <row r="7" spans="1:20" x14ac:dyDescent="0.25">
      <c r="A7">
        <v>3.9103574190263601</v>
      </c>
      <c r="B7">
        <v>74.022279296352906</v>
      </c>
      <c r="C7">
        <v>4.0924020911032599</v>
      </c>
      <c r="D7">
        <v>68.204749559663597</v>
      </c>
      <c r="E7">
        <v>3.7033499599964701</v>
      </c>
      <c r="F7">
        <v>60.660709554710301</v>
      </c>
      <c r="G7">
        <v>6.0046016642512701</v>
      </c>
      <c r="H7">
        <v>45.679326217921101</v>
      </c>
      <c r="I7">
        <v>5.9568402194260104</v>
      </c>
      <c r="J7">
        <v>36.868895427907297</v>
      </c>
      <c r="K7">
        <v>5.9746450830546198</v>
      </c>
      <c r="L7">
        <v>30.9916091755066</v>
      </c>
      <c r="M7">
        <v>6.0996661907076897</v>
      </c>
      <c r="N7">
        <v>27.702739793773599</v>
      </c>
      <c r="O7">
        <v>6.0682052869726304</v>
      </c>
      <c r="P7">
        <v>20.8016373941579</v>
      </c>
      <c r="R7" t="s">
        <v>31</v>
      </c>
      <c r="S7" cm="1">
        <f t="array" ref="S7">EXP(INDEX(LINEST(LN(L3:L128),LN(K3:K128),,),1,2))</f>
        <v>16.655896426971875</v>
      </c>
      <c r="T7" cm="1">
        <f t="array" ref="T7">INDEX(LINEST(LN(L3:L128), LN(K3:K128),,),1)</f>
        <v>0.41751897078371986</v>
      </c>
    </row>
    <row r="8" spans="1:20" x14ac:dyDescent="0.25">
      <c r="A8">
        <v>4.1471306564788399</v>
      </c>
      <c r="B8">
        <v>75.199685373518804</v>
      </c>
      <c r="C8">
        <v>4.3801559563138497</v>
      </c>
      <c r="D8">
        <v>69.2919679580246</v>
      </c>
      <c r="E8">
        <v>3.8912341245991602</v>
      </c>
      <c r="F8">
        <v>61.7417637216356</v>
      </c>
      <c r="G8">
        <v>6.2835615041807698</v>
      </c>
      <c r="H8">
        <v>46.933342790471798</v>
      </c>
      <c r="I8">
        <v>6.2181072400632402</v>
      </c>
      <c r="J8">
        <v>38.095785630094802</v>
      </c>
      <c r="K8">
        <v>6.26400314668851</v>
      </c>
      <c r="L8">
        <v>32.126455824534503</v>
      </c>
      <c r="M8">
        <v>6.3891887557990197</v>
      </c>
      <c r="N8">
        <v>28.876403524161901</v>
      </c>
      <c r="O8">
        <v>6.3661585517576604</v>
      </c>
      <c r="P8">
        <v>21.757835769729599</v>
      </c>
      <c r="R8" t="s">
        <v>32</v>
      </c>
      <c r="S8" cm="1">
        <f t="array" ref="S8">EXP(INDEX(LINEST(LN(N3:N128),LN(M3:M128),,),1,2))</f>
        <v>13.969571957774994</v>
      </c>
      <c r="T8" cm="1">
        <f t="array" ref="T8">INDEX(LINEST(LN(N3:N128), LN(M3:M128),,),1)</f>
        <v>0.44855529048994497</v>
      </c>
    </row>
    <row r="9" spans="1:20" x14ac:dyDescent="0.25">
      <c r="A9">
        <v>4.4345243791797904</v>
      </c>
      <c r="B9">
        <v>76.249606422524906</v>
      </c>
      <c r="C9">
        <v>4.5875687939352803</v>
      </c>
      <c r="D9">
        <v>70.701535452587507</v>
      </c>
      <c r="E9">
        <v>4.09011638664201</v>
      </c>
      <c r="F9">
        <v>62.900455768799702</v>
      </c>
      <c r="G9">
        <v>6.5804804505914998</v>
      </c>
      <c r="H9">
        <v>48.163939001084401</v>
      </c>
      <c r="I9">
        <v>6.4845996011132003</v>
      </c>
      <c r="J9">
        <v>39.1978437724092</v>
      </c>
      <c r="K9">
        <v>6.5500538652307396</v>
      </c>
      <c r="L9">
        <v>33.426778972355997</v>
      </c>
      <c r="M9">
        <v>6.7058973512248699</v>
      </c>
      <c r="N9">
        <v>30.173813964202498</v>
      </c>
      <c r="O9">
        <v>6.6918714374853998</v>
      </c>
      <c r="P9">
        <v>23.017212504861099</v>
      </c>
      <c r="R9" t="s">
        <v>33</v>
      </c>
      <c r="S9" cm="1">
        <f t="array" ref="S9">EXP(INDEX(LINEST(LN(P3:P128),LN(O3:O128),,),1,2))</f>
        <v>8.9575178965864222</v>
      </c>
      <c r="T9" cm="1">
        <f t="array" ref="T9">INDEX(LINEST(LN(P3:P128), LN(O3:O128),,),1)</f>
        <v>0.55503134815386446</v>
      </c>
    </row>
    <row r="10" spans="1:20" x14ac:dyDescent="0.25">
      <c r="A10">
        <v>4.7589793125859403</v>
      </c>
      <c r="B10">
        <v>77.302403992019705</v>
      </c>
      <c r="C10">
        <v>4.8287026226232301</v>
      </c>
      <c r="D10">
        <v>71.406836649745998</v>
      </c>
      <c r="E10">
        <v>4.3191024153960598</v>
      </c>
      <c r="F10">
        <v>64.041383037723307</v>
      </c>
      <c r="G10">
        <v>6.87611306981624</v>
      </c>
      <c r="H10">
        <v>49.2594914873048</v>
      </c>
      <c r="I10">
        <v>6.7510919621631702</v>
      </c>
      <c r="J10">
        <v>40.484662547791501</v>
      </c>
      <c r="K10">
        <v>6.8469728116414696</v>
      </c>
      <c r="L10">
        <v>34.577526814489303</v>
      </c>
      <c r="M10">
        <v>7.0012986789267497</v>
      </c>
      <c r="N10">
        <v>31.243898518829798</v>
      </c>
      <c r="O10">
        <v>7.0175843232131401</v>
      </c>
      <c r="P10">
        <v>24.1821980843023</v>
      </c>
    </row>
    <row r="11" spans="1:20" x14ac:dyDescent="0.25">
      <c r="A11">
        <v>5.1556213561385302</v>
      </c>
      <c r="B11">
        <v>78.598301346700197</v>
      </c>
      <c r="C11">
        <v>5.1832285713191899</v>
      </c>
      <c r="D11">
        <v>73.084921596540994</v>
      </c>
      <c r="E11">
        <v>4.5395754937276704</v>
      </c>
      <c r="F11">
        <v>65.310823579264706</v>
      </c>
      <c r="G11">
        <v>7.1325418122935202</v>
      </c>
      <c r="H11">
        <v>50.656141044979101</v>
      </c>
      <c r="I11">
        <v>7.0309089412656398</v>
      </c>
      <c r="J11">
        <v>41.7416854182636</v>
      </c>
      <c r="K11">
        <v>7.1656356349075701</v>
      </c>
      <c r="L11">
        <v>35.655691456240397</v>
      </c>
      <c r="M11">
        <v>7.3136869466019903</v>
      </c>
      <c r="N11">
        <v>32.2228341624498</v>
      </c>
      <c r="O11">
        <v>7.3432972089408803</v>
      </c>
      <c r="P11">
        <v>25.295020130335701</v>
      </c>
    </row>
    <row r="12" spans="1:20" x14ac:dyDescent="0.25">
      <c r="A12">
        <v>5.4743671213159404</v>
      </c>
      <c r="B12">
        <v>79.707829512952998</v>
      </c>
      <c r="C12">
        <v>5.4712706232935702</v>
      </c>
      <c r="D12">
        <v>74.153442358840294</v>
      </c>
      <c r="E12">
        <v>4.7731264379256304</v>
      </c>
      <c r="F12">
        <v>66.421351543675399</v>
      </c>
      <c r="G12">
        <v>7.4321279959575399</v>
      </c>
      <c r="H12">
        <v>51.5034697010909</v>
      </c>
      <c r="I12">
        <v>7.3432972089408803</v>
      </c>
      <c r="J12">
        <v>42.799611555329697</v>
      </c>
      <c r="K12">
        <v>7.4913485206353103</v>
      </c>
      <c r="L12">
        <v>36.770997480055101</v>
      </c>
      <c r="M12">
        <v>7.6393998323297296</v>
      </c>
      <c r="N12">
        <v>33.293428586200697</v>
      </c>
      <c r="O12">
        <v>7.6690100946686197</v>
      </c>
      <c r="P12">
        <v>26.248867598364299</v>
      </c>
    </row>
    <row r="13" spans="1:20" x14ac:dyDescent="0.25">
      <c r="A13">
        <v>5.82762190546919</v>
      </c>
      <c r="B13">
        <v>80.7450128700128</v>
      </c>
      <c r="C13">
        <v>5.76358971316135</v>
      </c>
      <c r="D13">
        <v>75.161689663130602</v>
      </c>
      <c r="E13">
        <v>5.0767662190007501</v>
      </c>
      <c r="F13">
        <v>67.8163313858647</v>
      </c>
      <c r="G13">
        <v>7.7578408816852704</v>
      </c>
      <c r="H13">
        <v>52.603871858217602</v>
      </c>
      <c r="I13">
        <v>7.6690100946686197</v>
      </c>
      <c r="J13">
        <v>43.959629179208299</v>
      </c>
      <c r="K13">
        <v>7.8170614063630399</v>
      </c>
      <c r="L13">
        <v>37.878851570525804</v>
      </c>
      <c r="M13">
        <v>7.9651127180574699</v>
      </c>
      <c r="N13">
        <v>34.364023009951602</v>
      </c>
      <c r="O13">
        <v>7.99472298039636</v>
      </c>
      <c r="P13">
        <v>27.356721688835101</v>
      </c>
    </row>
    <row r="14" spans="1:20" x14ac:dyDescent="0.25">
      <c r="A14">
        <v>6.1188257722210899</v>
      </c>
      <c r="B14">
        <v>81.522065654727996</v>
      </c>
      <c r="C14">
        <v>6.0947311469845502</v>
      </c>
      <c r="D14">
        <v>76.259988259073296</v>
      </c>
      <c r="E14">
        <v>5.2949637671450498</v>
      </c>
      <c r="F14">
        <v>68.757356101363399</v>
      </c>
      <c r="G14">
        <v>8.0779137174436997</v>
      </c>
      <c r="H14">
        <v>53.667724056562101</v>
      </c>
      <c r="I14">
        <v>7.99472298039636</v>
      </c>
      <c r="J14">
        <v>45.079903158585601</v>
      </c>
      <c r="K14">
        <v>8.1380989875109595</v>
      </c>
      <c r="L14">
        <v>38.9572714581141</v>
      </c>
      <c r="M14">
        <v>8.2908256037852102</v>
      </c>
      <c r="N14">
        <v>35.365066055825402</v>
      </c>
      <c r="O14">
        <v>8.3204358661241002</v>
      </c>
      <c r="P14">
        <v>28.3105691568637</v>
      </c>
    </row>
    <row r="15" spans="1:20" x14ac:dyDescent="0.25">
      <c r="A15">
        <v>6.4530153212850596</v>
      </c>
      <c r="B15">
        <v>82.577402471089499</v>
      </c>
      <c r="C15">
        <v>6.4171540035635202</v>
      </c>
      <c r="D15">
        <v>77.350263935350796</v>
      </c>
      <c r="E15">
        <v>5.5407724890612302</v>
      </c>
      <c r="F15">
        <v>70.0804046841901</v>
      </c>
      <c r="G15">
        <v>8.4092666531407492</v>
      </c>
      <c r="H15">
        <v>54.762448550188701</v>
      </c>
      <c r="I15">
        <v>8.3204358661241002</v>
      </c>
      <c r="J15">
        <v>46.170369404587099</v>
      </c>
      <c r="K15">
        <v>8.4454569737771692</v>
      </c>
      <c r="L15">
        <v>40.098467526036899</v>
      </c>
      <c r="M15">
        <v>8.6165384895129495</v>
      </c>
      <c r="N15">
        <v>36.271717946008799</v>
      </c>
      <c r="O15">
        <v>8.6625988975956592</v>
      </c>
      <c r="P15">
        <v>29.3808087266458</v>
      </c>
    </row>
    <row r="16" spans="1:20" x14ac:dyDescent="0.25">
      <c r="A16">
        <v>6.7905723119483499</v>
      </c>
      <c r="B16">
        <v>83.483787826514202</v>
      </c>
      <c r="C16">
        <v>6.7526503970231104</v>
      </c>
      <c r="D16">
        <v>78.414500247552695</v>
      </c>
      <c r="E16">
        <v>5.8402238921193703</v>
      </c>
      <c r="F16">
        <v>71.149159288683506</v>
      </c>
      <c r="G16">
        <v>8.7349795388684903</v>
      </c>
      <c r="H16">
        <v>55.758523640499803</v>
      </c>
      <c r="I16">
        <v>8.6461487518518396</v>
      </c>
      <c r="J16">
        <v>47.196252228274098</v>
      </c>
      <c r="K16">
        <v>8.7942000635462598</v>
      </c>
      <c r="L16">
        <v>40.948054517130402</v>
      </c>
      <c r="M16">
        <v>8.9422513752406907</v>
      </c>
      <c r="N16">
        <v>37.133658236128497</v>
      </c>
      <c r="O16">
        <v>8.9544438362037599</v>
      </c>
      <c r="P16">
        <v>30.3029280751147</v>
      </c>
    </row>
    <row r="17" spans="1:16" x14ac:dyDescent="0.25">
      <c r="A17">
        <v>7.0916099790603502</v>
      </c>
      <c r="B17">
        <v>84.208664834779796</v>
      </c>
      <c r="C17">
        <v>7.0847009178479503</v>
      </c>
      <c r="D17">
        <v>79.357241491916696</v>
      </c>
      <c r="E17">
        <v>6.1559256891515801</v>
      </c>
      <c r="F17">
        <v>72.185944014855195</v>
      </c>
      <c r="G17">
        <v>9.0606924245962297</v>
      </c>
      <c r="H17">
        <v>56.821666130906699</v>
      </c>
      <c r="I17">
        <v>8.9718616375795701</v>
      </c>
      <c r="J17">
        <v>48.259394718681001</v>
      </c>
      <c r="K17">
        <v>9.1199129492739992</v>
      </c>
      <c r="L17">
        <v>41.955059109679397</v>
      </c>
      <c r="M17">
        <v>9.2679642609684301</v>
      </c>
      <c r="N17">
        <v>38.022922281842597</v>
      </c>
      <c r="O17">
        <v>9.2975745233073095</v>
      </c>
      <c r="P17">
        <v>31.0752364274779</v>
      </c>
    </row>
    <row r="18" spans="1:16" x14ac:dyDescent="0.25">
      <c r="A18">
        <v>7.4116285835690796</v>
      </c>
      <c r="B18">
        <v>85.0984903345379</v>
      </c>
      <c r="C18">
        <v>7.3650114013227297</v>
      </c>
      <c r="D18">
        <v>80.330013453526703</v>
      </c>
      <c r="E18">
        <v>6.4714394845181404</v>
      </c>
      <c r="F18">
        <v>73.334018831274093</v>
      </c>
      <c r="G18">
        <v>9.3694851604160299</v>
      </c>
      <c r="H18">
        <v>57.5437939573346</v>
      </c>
      <c r="I18">
        <v>9.3069251324669597</v>
      </c>
      <c r="J18">
        <v>49.235523280642902</v>
      </c>
      <c r="K18">
        <v>9.4456258350017404</v>
      </c>
      <c r="L18">
        <v>42.849291110956202</v>
      </c>
      <c r="M18">
        <v>9.5762593453203504</v>
      </c>
      <c r="N18">
        <v>38.865596088834799</v>
      </c>
      <c r="O18">
        <v>9.6232874090350506</v>
      </c>
      <c r="P18">
        <v>31.929724784253501</v>
      </c>
    </row>
    <row r="19" spans="1:16" x14ac:dyDescent="0.25">
      <c r="A19">
        <v>7.7726460128547199</v>
      </c>
      <c r="B19">
        <v>85.902176568805103</v>
      </c>
      <c r="C19">
        <v>7.6772351675405304</v>
      </c>
      <c r="D19">
        <v>81.018911834328094</v>
      </c>
      <c r="E19">
        <v>6.7751503003135198</v>
      </c>
      <c r="F19">
        <v>74.469535020741503</v>
      </c>
      <c r="G19">
        <v>9.5901935864209999</v>
      </c>
      <c r="H19">
        <v>58.3968002769466</v>
      </c>
      <c r="I19">
        <v>9.6145785083471402</v>
      </c>
      <c r="J19">
        <v>50.285089036232598</v>
      </c>
      <c r="K19">
        <v>9.7565335895600391</v>
      </c>
      <c r="L19">
        <v>43.810093716772499</v>
      </c>
      <c r="M19">
        <v>9.894009807562</v>
      </c>
      <c r="N19">
        <v>39.666251011173202</v>
      </c>
      <c r="O19">
        <v>9.9330563073495401</v>
      </c>
      <c r="P19">
        <v>32.772557552978398</v>
      </c>
    </row>
    <row r="20" spans="1:16" x14ac:dyDescent="0.25">
      <c r="A20">
        <v>8.0729786737205593</v>
      </c>
      <c r="B20">
        <v>86.574224784001203</v>
      </c>
      <c r="C20">
        <v>8.0347839235607292</v>
      </c>
      <c r="D20">
        <v>81.9745225554923</v>
      </c>
      <c r="E20">
        <v>7.0842074134756299</v>
      </c>
      <c r="F20">
        <v>75.3324696412528</v>
      </c>
      <c r="G20">
        <v>9.8428968547151197</v>
      </c>
      <c r="H20">
        <v>58.908030040234898</v>
      </c>
      <c r="I20">
        <v>9.9405402198088204</v>
      </c>
      <c r="J20">
        <v>50.923638316136</v>
      </c>
      <c r="K20">
        <v>10.185882393473801</v>
      </c>
      <c r="L20">
        <v>44.933348469487498</v>
      </c>
      <c r="M20">
        <v>10.2712296202153</v>
      </c>
      <c r="N20">
        <v>40.694221211147102</v>
      </c>
      <c r="O20">
        <v>10.274713180490499</v>
      </c>
      <c r="P20">
        <v>33.631249564460902</v>
      </c>
    </row>
    <row r="21" spans="1:16" x14ac:dyDescent="0.25">
      <c r="A21">
        <v>8.4219567655717</v>
      </c>
      <c r="B21">
        <v>87.284400790805094</v>
      </c>
      <c r="C21">
        <v>8.3415860535090101</v>
      </c>
      <c r="D21">
        <v>82.719047333084703</v>
      </c>
      <c r="E21">
        <v>7.3965956811508704</v>
      </c>
      <c r="F21">
        <v>76.194280409673794</v>
      </c>
      <c r="G21">
        <v>10.2023325392177</v>
      </c>
      <c r="H21">
        <v>59.923707526635198</v>
      </c>
      <c r="I21">
        <v>10.274713180490499</v>
      </c>
      <c r="J21">
        <v>51.779191234817901</v>
      </c>
      <c r="K21">
        <v>10.5083052500528</v>
      </c>
      <c r="L21">
        <v>45.755545115105903</v>
      </c>
      <c r="M21">
        <v>10.570815803879301</v>
      </c>
      <c r="N21">
        <v>41.321644775441598</v>
      </c>
      <c r="O21">
        <v>10.603716095367</v>
      </c>
      <c r="P21">
        <v>34.388862787764801</v>
      </c>
    </row>
    <row r="22" spans="1:16" x14ac:dyDescent="0.25">
      <c r="A22">
        <v>8.7460833872455694</v>
      </c>
      <c r="B22">
        <v>87.896257746440696</v>
      </c>
      <c r="C22">
        <v>8.6500967868303498</v>
      </c>
      <c r="D22">
        <v>83.394712383275902</v>
      </c>
      <c r="E22">
        <v>7.7266721844864499</v>
      </c>
      <c r="F22">
        <v>77.1296537131756</v>
      </c>
      <c r="G22">
        <v>10.5599067598597</v>
      </c>
      <c r="H22">
        <v>60.785048784518999</v>
      </c>
      <c r="I22">
        <v>10.600426066218199</v>
      </c>
      <c r="J22">
        <v>52.601387880436299</v>
      </c>
      <c r="K22">
        <v>10.837308164929301</v>
      </c>
      <c r="L22">
        <v>46.458510827220699</v>
      </c>
      <c r="M22">
        <v>10.8965286896071</v>
      </c>
      <c r="N22">
        <v>42.148809376622701</v>
      </c>
      <c r="O22">
        <v>10.926138951945999</v>
      </c>
      <c r="P22">
        <v>35.109216344349001</v>
      </c>
    </row>
    <row r="23" spans="1:16" x14ac:dyDescent="0.25">
      <c r="A23">
        <v>9.0547703721284503</v>
      </c>
      <c r="B23">
        <v>88.583155276567894</v>
      </c>
      <c r="C23">
        <v>8.9955498474506808</v>
      </c>
      <c r="D23">
        <v>84.089759331936804</v>
      </c>
      <c r="E23">
        <v>8.0368007216147692</v>
      </c>
      <c r="F23">
        <v>78.030330983116599</v>
      </c>
      <c r="G23">
        <v>10.8504682815244</v>
      </c>
      <c r="H23">
        <v>61.466704581983599</v>
      </c>
      <c r="I23">
        <v>10.926138951945999</v>
      </c>
      <c r="J23">
        <v>53.363969059303002</v>
      </c>
      <c r="K23">
        <v>11.155970988195399</v>
      </c>
      <c r="L23">
        <v>47.2245222611187</v>
      </c>
      <c r="M23">
        <v>11.2035403570155</v>
      </c>
      <c r="N23">
        <v>42.895179332074399</v>
      </c>
      <c r="O23">
        <v>11.2518518376737</v>
      </c>
      <c r="P23">
        <v>35.914025145498101</v>
      </c>
    </row>
    <row r="24" spans="1:16" x14ac:dyDescent="0.25">
      <c r="A24">
        <v>9.4075554977088895</v>
      </c>
      <c r="B24">
        <v>89.179108071605697</v>
      </c>
      <c r="C24">
        <v>9.3066853732577393</v>
      </c>
      <c r="D24">
        <v>84.673270643535901</v>
      </c>
      <c r="E24">
        <v>8.3709474901139593</v>
      </c>
      <c r="F24">
        <v>78.938860962648704</v>
      </c>
      <c r="G24">
        <v>11.1926313129959</v>
      </c>
      <c r="H24">
        <v>62.177122227442403</v>
      </c>
      <c r="I24">
        <v>11.2518518376737</v>
      </c>
      <c r="J24">
        <v>54.198585593828</v>
      </c>
      <c r="K24">
        <v>11.507435154704099</v>
      </c>
      <c r="L24">
        <v>48.052178677449497</v>
      </c>
      <c r="M24">
        <v>11.5601469220256</v>
      </c>
      <c r="N24">
        <v>43.683761529141201</v>
      </c>
      <c r="O24">
        <v>11.5545345193601</v>
      </c>
      <c r="P24">
        <v>36.662806447801799</v>
      </c>
    </row>
    <row r="25" spans="1:16" x14ac:dyDescent="0.25">
      <c r="A25">
        <v>9.7096506741901294</v>
      </c>
      <c r="B25">
        <v>90.088642164579895</v>
      </c>
      <c r="C25">
        <v>9.6479626276507897</v>
      </c>
      <c r="D25">
        <v>85.335230325738095</v>
      </c>
      <c r="E25">
        <v>8.6866680582103104</v>
      </c>
      <c r="F25">
        <v>79.772757974905602</v>
      </c>
      <c r="G25">
        <v>11.5183441987237</v>
      </c>
      <c r="H25">
        <v>62.890023850682503</v>
      </c>
      <c r="I25">
        <v>11.5775647234014</v>
      </c>
      <c r="J25">
        <v>54.923907105974799</v>
      </c>
      <c r="K25">
        <v>11.7957456037932</v>
      </c>
      <c r="L25">
        <v>48.667682224527198</v>
      </c>
      <c r="M25">
        <v>11.873667346790301</v>
      </c>
      <c r="N25">
        <v>44.222930824028701</v>
      </c>
      <c r="O25">
        <v>11.9032776091292</v>
      </c>
      <c r="P25">
        <v>37.416047289163203</v>
      </c>
    </row>
    <row r="26" spans="1:16" x14ac:dyDescent="0.25">
      <c r="A26">
        <v>10.043753134247201</v>
      </c>
      <c r="B26">
        <v>90.510035195305093</v>
      </c>
      <c r="C26">
        <v>9.9870706320556408</v>
      </c>
      <c r="D26">
        <v>85.9470051861896</v>
      </c>
      <c r="E26">
        <v>8.9817317250258704</v>
      </c>
      <c r="F26">
        <v>80.672659131488004</v>
      </c>
      <c r="G26">
        <v>11.8370070219898</v>
      </c>
      <c r="H26">
        <v>63.663014079299501</v>
      </c>
      <c r="I26">
        <v>11.8962275466675</v>
      </c>
      <c r="J26">
        <v>55.681875183247499</v>
      </c>
      <c r="K26">
        <v>12.1677959526899</v>
      </c>
      <c r="L26">
        <v>49.475999722111297</v>
      </c>
      <c r="M26">
        <v>12.187187771554999</v>
      </c>
      <c r="N26">
        <v>44.886006775302199</v>
      </c>
      <c r="O26">
        <v>12.2289904948569</v>
      </c>
      <c r="P26">
        <v>38.050246037437198</v>
      </c>
    </row>
    <row r="27" spans="1:16" x14ac:dyDescent="0.25">
      <c r="C27">
        <v>10.185882393473801</v>
      </c>
      <c r="D27">
        <v>86.088444345534896</v>
      </c>
      <c r="E27">
        <v>9.2609971404181</v>
      </c>
      <c r="F27">
        <v>81.315798087984703</v>
      </c>
      <c r="G27">
        <v>12.1816140751147</v>
      </c>
      <c r="H27">
        <v>64.486890367036693</v>
      </c>
      <c r="I27">
        <v>12.2487306697495</v>
      </c>
      <c r="J27">
        <v>56.445205498270397</v>
      </c>
      <c r="K27">
        <v>12.4520544711432</v>
      </c>
      <c r="L27">
        <v>50.332144064074498</v>
      </c>
      <c r="M27">
        <v>12.5158399112649</v>
      </c>
      <c r="N27">
        <v>45.598433520437098</v>
      </c>
      <c r="O27">
        <v>12.5428592756491</v>
      </c>
      <c r="P27">
        <v>38.802560108141002</v>
      </c>
    </row>
    <row r="28" spans="1:16" x14ac:dyDescent="0.25">
      <c r="E28">
        <v>9.5844239397152595</v>
      </c>
      <c r="F28">
        <v>82.053649989520295</v>
      </c>
      <c r="G28">
        <v>12.508807473959401</v>
      </c>
      <c r="H28">
        <v>65.007863307039798</v>
      </c>
      <c r="I28">
        <v>12.541378762532201</v>
      </c>
      <c r="J28">
        <v>57.010200044509197</v>
      </c>
      <c r="K28">
        <v>12.788295450147</v>
      </c>
      <c r="L28">
        <v>50.843835601383603</v>
      </c>
      <c r="M28">
        <v>12.850806003973499</v>
      </c>
      <c r="N28">
        <v>46.118205871179299</v>
      </c>
      <c r="O28">
        <v>12.9081758872551</v>
      </c>
      <c r="P28">
        <v>39.504260174433902</v>
      </c>
    </row>
    <row r="29" spans="1:16" x14ac:dyDescent="0.25">
      <c r="E29">
        <v>9.8897797700850205</v>
      </c>
      <c r="F29">
        <v>82.650714709612203</v>
      </c>
      <c r="G29">
        <v>12.8047455958908</v>
      </c>
      <c r="H29">
        <v>65.528836247043003</v>
      </c>
      <c r="I29">
        <v>12.878771251738</v>
      </c>
      <c r="J29">
        <v>57.677810472869901</v>
      </c>
      <c r="K29">
        <v>13.121246400002001</v>
      </c>
      <c r="L29">
        <v>51.5172143781475</v>
      </c>
      <c r="M29">
        <v>13.1567787148087</v>
      </c>
      <c r="N29">
        <v>46.742236289354302</v>
      </c>
      <c r="O29">
        <v>13.180002449976399</v>
      </c>
      <c r="P29">
        <v>40.171166461193899</v>
      </c>
    </row>
    <row r="30" spans="1:16" x14ac:dyDescent="0.25">
      <c r="E30">
        <v>10.1414669999655</v>
      </c>
      <c r="F30">
        <v>83.121691682533395</v>
      </c>
      <c r="G30">
        <v>13.142678589885399</v>
      </c>
      <c r="H30">
        <v>66.217134661782396</v>
      </c>
      <c r="I30">
        <v>13.2291593560815</v>
      </c>
      <c r="J30">
        <v>58.388228118328698</v>
      </c>
      <c r="K30">
        <v>13.4566775256769</v>
      </c>
      <c r="L30">
        <v>52.176627679829799</v>
      </c>
      <c r="M30">
        <v>13.519151925336899</v>
      </c>
      <c r="N30">
        <v>47.457424749281998</v>
      </c>
      <c r="O30">
        <v>13.5432306002059</v>
      </c>
      <c r="P30">
        <v>40.843574590143596</v>
      </c>
    </row>
    <row r="31" spans="1:16" x14ac:dyDescent="0.25">
      <c r="G31">
        <v>13.480517583047099</v>
      </c>
      <c r="H31">
        <v>66.7930153392184</v>
      </c>
      <c r="I31">
        <v>13.504205792918199</v>
      </c>
      <c r="J31">
        <v>58.923773727982301</v>
      </c>
      <c r="K31">
        <v>13.768724136478999</v>
      </c>
      <c r="L31">
        <v>52.539288435903202</v>
      </c>
      <c r="M31">
        <v>13.844600433722301</v>
      </c>
      <c r="N31">
        <v>47.989262134961997</v>
      </c>
      <c r="O31">
        <v>13.8615029584741</v>
      </c>
      <c r="P31">
        <v>41.352777296967503</v>
      </c>
    </row>
    <row r="32" spans="1:16" x14ac:dyDescent="0.25">
      <c r="G32">
        <v>13.795373372583899</v>
      </c>
      <c r="H32">
        <v>67.232017012437794</v>
      </c>
      <c r="I32">
        <v>13.859832635983199</v>
      </c>
      <c r="J32">
        <v>59.515608275901002</v>
      </c>
      <c r="K32">
        <v>14.0926952420691</v>
      </c>
      <c r="L32">
        <v>53.157068321752597</v>
      </c>
      <c r="M32">
        <v>14.153657546884499</v>
      </c>
      <c r="N32">
        <v>48.435757141155101</v>
      </c>
      <c r="O32">
        <v>14.1965924272758</v>
      </c>
      <c r="P32">
        <v>41.891966074033697</v>
      </c>
    </row>
    <row r="33" spans="7:16" x14ac:dyDescent="0.25">
      <c r="G33">
        <v>14.104307109653</v>
      </c>
      <c r="H33">
        <v>67.820388549574204</v>
      </c>
      <c r="I33">
        <v>14.1718792467853</v>
      </c>
      <c r="J33">
        <v>60.297488051376398</v>
      </c>
      <c r="K33">
        <v>14.417872195446799</v>
      </c>
      <c r="L33">
        <v>53.858089562572601</v>
      </c>
      <c r="M33">
        <v>14.4793704326122</v>
      </c>
      <c r="N33">
        <v>49.083338337684097</v>
      </c>
      <c r="O33">
        <v>14.501930632489501</v>
      </c>
      <c r="P33">
        <v>42.4259503262248</v>
      </c>
    </row>
    <row r="34" spans="7:16" x14ac:dyDescent="0.25">
      <c r="G34">
        <v>14.4474824577857</v>
      </c>
      <c r="H34">
        <v>68.3985311935906</v>
      </c>
      <c r="I34">
        <v>14.5367403158938</v>
      </c>
      <c r="J34">
        <v>60.664069261393102</v>
      </c>
      <c r="K34">
        <v>14.759022910257199</v>
      </c>
      <c r="L34">
        <v>54.344312290332397</v>
      </c>
      <c r="M34">
        <v>14.7730055341395</v>
      </c>
      <c r="N34">
        <v>49.625109359784503</v>
      </c>
      <c r="O34">
        <v>14.7902781871705</v>
      </c>
      <c r="P34">
        <v>43.105140822432602</v>
      </c>
    </row>
    <row r="35" spans="7:16" x14ac:dyDescent="0.25">
      <c r="G35">
        <v>14.7606679248316</v>
      </c>
      <c r="H35">
        <v>68.898766103706606</v>
      </c>
      <c r="I35">
        <v>14.787317160936601</v>
      </c>
      <c r="J35">
        <v>60.974876981281298</v>
      </c>
      <c r="K35">
        <v>15.1850816850223</v>
      </c>
      <c r="L35">
        <v>55.094197582761097</v>
      </c>
      <c r="M35">
        <v>15.190016728745499</v>
      </c>
      <c r="N35">
        <v>50.586881899782099</v>
      </c>
      <c r="O35">
        <v>15.212224425499601</v>
      </c>
      <c r="P35">
        <v>43.842882223486001</v>
      </c>
    </row>
    <row r="36" spans="7:16" x14ac:dyDescent="0.25">
      <c r="G36">
        <v>15.196596787042999</v>
      </c>
      <c r="H36">
        <v>69.393629677252704</v>
      </c>
      <c r="I36">
        <v>15.1922944412331</v>
      </c>
      <c r="J36">
        <v>61.790385994411601</v>
      </c>
      <c r="K36">
        <v>15.536229026861699</v>
      </c>
      <c r="L36">
        <v>55.745530525951303</v>
      </c>
      <c r="M36">
        <v>15.517210127590101</v>
      </c>
      <c r="N36">
        <v>50.706609628842003</v>
      </c>
      <c r="O36">
        <v>15.5157296144732</v>
      </c>
      <c r="P36">
        <v>44.292482201905798</v>
      </c>
    </row>
    <row r="37" spans="7:16" x14ac:dyDescent="0.25">
      <c r="G37">
        <v>15.494579427088301</v>
      </c>
      <c r="H37">
        <v>69.999894866578899</v>
      </c>
      <c r="I37">
        <v>15.508896477010399</v>
      </c>
      <c r="J37">
        <v>62.315842832768702</v>
      </c>
      <c r="K37">
        <v>15.8414425002009</v>
      </c>
      <c r="L37">
        <v>56.319902619079201</v>
      </c>
      <c r="M37">
        <v>15.828752387770001</v>
      </c>
      <c r="N37">
        <v>51.298364107147201</v>
      </c>
      <c r="O37">
        <v>15.843293141597099</v>
      </c>
      <c r="P37">
        <v>44.983649019559302</v>
      </c>
    </row>
    <row r="38" spans="7:16" x14ac:dyDescent="0.25">
      <c r="G38">
        <v>15.8414425002009</v>
      </c>
      <c r="H38">
        <v>70.592838950569899</v>
      </c>
      <c r="I38">
        <v>15.856247631370399</v>
      </c>
      <c r="J38">
        <v>62.732705257865298</v>
      </c>
      <c r="K38">
        <v>16.173077438396401</v>
      </c>
      <c r="L38">
        <v>56.548428574961001</v>
      </c>
      <c r="M38">
        <v>16.169433098416299</v>
      </c>
      <c r="N38">
        <v>51.861353576815603</v>
      </c>
      <c r="O38">
        <v>16.1829475258427</v>
      </c>
      <c r="P38">
        <v>45.651714843846499</v>
      </c>
    </row>
    <row r="39" spans="7:16" x14ac:dyDescent="0.25">
      <c r="G39">
        <v>16.167155385928702</v>
      </c>
      <c r="H39">
        <v>70.980339484456593</v>
      </c>
      <c r="I39">
        <v>16.176505995088299</v>
      </c>
      <c r="J39">
        <v>63.132015580852602</v>
      </c>
      <c r="K39">
        <v>16.477283923057001</v>
      </c>
      <c r="L39">
        <v>57.063265654058704</v>
      </c>
      <c r="M39">
        <v>16.520504516506001</v>
      </c>
      <c r="N39">
        <v>52.325997543746801</v>
      </c>
      <c r="O39">
        <v>16.502218880816098</v>
      </c>
      <c r="P39">
        <v>46.090620644239301</v>
      </c>
    </row>
    <row r="40" spans="7:16" x14ac:dyDescent="0.25">
      <c r="G40">
        <v>16.508544292894602</v>
      </c>
      <c r="H40">
        <v>71.190747014168707</v>
      </c>
      <c r="I40">
        <v>16.465232026806799</v>
      </c>
      <c r="J40">
        <v>63.663534531787001</v>
      </c>
      <c r="K40">
        <v>16.829969719822198</v>
      </c>
      <c r="L40">
        <v>57.662397072278097</v>
      </c>
      <c r="M40">
        <v>16.812001099086601</v>
      </c>
      <c r="N40">
        <v>52.680599171907403</v>
      </c>
      <c r="O40">
        <v>16.803776026214699</v>
      </c>
      <c r="P40">
        <v>46.575257782942998</v>
      </c>
    </row>
    <row r="41" spans="7:16" x14ac:dyDescent="0.25">
      <c r="G41">
        <v>16.820322937521698</v>
      </c>
      <c r="H41">
        <v>71.544348557157306</v>
      </c>
      <c r="I41">
        <v>16.830918766692001</v>
      </c>
      <c r="J41">
        <v>64.240065774832402</v>
      </c>
      <c r="K41">
        <v>17.144294043111898</v>
      </c>
      <c r="L41">
        <v>58.2226295995737</v>
      </c>
      <c r="M41">
        <v>17.123794630723399</v>
      </c>
      <c r="N41">
        <v>53.1686901906481</v>
      </c>
      <c r="O41">
        <v>17.144294043111898</v>
      </c>
      <c r="P41">
        <v>47.168928472679603</v>
      </c>
    </row>
    <row r="42" spans="7:16" x14ac:dyDescent="0.25">
      <c r="G42">
        <v>17.128501903197801</v>
      </c>
      <c r="H42">
        <v>71.908022386521907</v>
      </c>
      <c r="I42">
        <v>17.131956433804</v>
      </c>
      <c r="J42">
        <v>64.704569619940102</v>
      </c>
      <c r="K42">
        <v>17.488513342801401</v>
      </c>
      <c r="L42">
        <v>58.539647263915299</v>
      </c>
      <c r="M42">
        <v>17.470006928839599</v>
      </c>
      <c r="N42">
        <v>53.622302748560699</v>
      </c>
      <c r="O42">
        <v>17.4631737913768</v>
      </c>
      <c r="P42">
        <v>47.548403847580403</v>
      </c>
    </row>
    <row r="43" spans="7:16" x14ac:dyDescent="0.25">
      <c r="G43">
        <v>17.470006928839599</v>
      </c>
      <c r="H43">
        <v>72.376334997560903</v>
      </c>
      <c r="I43">
        <v>17.481110777216699</v>
      </c>
      <c r="J43">
        <v>65.005130931480394</v>
      </c>
      <c r="K43">
        <v>17.772031604696299</v>
      </c>
      <c r="L43">
        <v>58.916487393157098</v>
      </c>
      <c r="M43">
        <v>17.795719814567398</v>
      </c>
      <c r="N43">
        <v>54.034643060260599</v>
      </c>
      <c r="O43">
        <v>17.823356059417002</v>
      </c>
      <c r="P43">
        <v>48.0124873272174</v>
      </c>
    </row>
    <row r="44" spans="7:16" x14ac:dyDescent="0.25">
      <c r="G44">
        <v>17.795719814567398</v>
      </c>
      <c r="H44">
        <v>72.738995753634299</v>
      </c>
      <c r="I44">
        <v>17.795719814567398</v>
      </c>
      <c r="J44">
        <v>65.335173137214795</v>
      </c>
      <c r="K44">
        <v>18.121432700295099</v>
      </c>
      <c r="L44">
        <v>59.430789078547498</v>
      </c>
      <c r="M44">
        <v>18.141932112683602</v>
      </c>
      <c r="N44">
        <v>54.391953710343401</v>
      </c>
      <c r="O44">
        <v>18.131796292113702</v>
      </c>
      <c r="P44">
        <v>48.395019905541403</v>
      </c>
    </row>
    <row r="45" spans="7:16" x14ac:dyDescent="0.25">
      <c r="G45">
        <v>18.121432700295099</v>
      </c>
      <c r="H45">
        <v>73.0668808207692</v>
      </c>
      <c r="I45">
        <v>18.1145995628323</v>
      </c>
      <c r="J45">
        <v>65.788061620632504</v>
      </c>
      <c r="K45">
        <v>18.447145586022799</v>
      </c>
      <c r="L45">
        <v>60.071182207504201</v>
      </c>
      <c r="M45">
        <v>18.452080629746</v>
      </c>
      <c r="N45">
        <v>54.623621791965803</v>
      </c>
      <c r="O45">
        <v>18.425995398637902</v>
      </c>
      <c r="P45">
        <v>48.921197370419598</v>
      </c>
    </row>
    <row r="46" spans="7:16" x14ac:dyDescent="0.25">
      <c r="G46">
        <v>18.4630895734361</v>
      </c>
      <c r="H46">
        <v>73.245345070596599</v>
      </c>
      <c r="I46">
        <v>18.447145586022799</v>
      </c>
      <c r="J46">
        <v>66.250845788814601</v>
      </c>
      <c r="K46">
        <v>18.772858471750599</v>
      </c>
      <c r="L46">
        <v>60.592344402957302</v>
      </c>
      <c r="M46">
        <v>18.767633131337799</v>
      </c>
      <c r="N46">
        <v>55.053658415963902</v>
      </c>
      <c r="O46">
        <v>18.772858471750599</v>
      </c>
      <c r="P46">
        <v>49.423670590184699</v>
      </c>
    </row>
    <row r="47" spans="7:16" x14ac:dyDescent="0.25">
      <c r="G47">
        <v>18.767633131337799</v>
      </c>
      <c r="H47">
        <v>73.415222175514899</v>
      </c>
      <c r="I47">
        <v>18.772858471750599</v>
      </c>
      <c r="J47">
        <v>66.678089967202496</v>
      </c>
      <c r="K47">
        <v>19.1183115323709</v>
      </c>
      <c r="L47">
        <v>60.7125689275735</v>
      </c>
      <c r="M47">
        <v>19.098571357478299</v>
      </c>
      <c r="N47">
        <v>55.619420884745601</v>
      </c>
      <c r="O47">
        <v>19.098571357478299</v>
      </c>
      <c r="P47">
        <v>50.089140066267198</v>
      </c>
    </row>
    <row r="48" spans="7:16" x14ac:dyDescent="0.25">
      <c r="G48">
        <v>19.107280258166199</v>
      </c>
      <c r="H48">
        <v>73.717390766796001</v>
      </c>
      <c r="I48">
        <v>19.1197215448632</v>
      </c>
      <c r="J48">
        <v>66.978296424774001</v>
      </c>
      <c r="K48">
        <v>19.420994214057298</v>
      </c>
      <c r="L48">
        <v>61.011308655407397</v>
      </c>
      <c r="M48">
        <v>19.424284243206099</v>
      </c>
      <c r="N48">
        <v>56.036729152008199</v>
      </c>
      <c r="O48">
        <v>19.424284243206099</v>
      </c>
      <c r="P48">
        <v>50.571978033094197</v>
      </c>
    </row>
    <row r="49" spans="7:16" x14ac:dyDescent="0.25">
      <c r="G49">
        <v>19.422006530718399</v>
      </c>
      <c r="H49">
        <v>74.073465047847407</v>
      </c>
      <c r="I49">
        <v>19.429836167394601</v>
      </c>
      <c r="J49">
        <v>67.211524195741902</v>
      </c>
      <c r="K49">
        <v>19.7273539871452</v>
      </c>
      <c r="L49">
        <v>61.447417225093297</v>
      </c>
      <c r="M49">
        <v>19.749997128933799</v>
      </c>
      <c r="N49">
        <v>56.463973330396001</v>
      </c>
      <c r="O49">
        <v>19.758222201805701</v>
      </c>
      <c r="P49">
        <v>50.713288769098398</v>
      </c>
    </row>
    <row r="50" spans="7:16" x14ac:dyDescent="0.25">
      <c r="G50">
        <v>19.749997128933799</v>
      </c>
      <c r="H50">
        <v>74.428100644935</v>
      </c>
      <c r="I50">
        <v>19.740646519774199</v>
      </c>
      <c r="J50">
        <v>67.538330693576995</v>
      </c>
      <c r="K50">
        <v>20.194151064017099</v>
      </c>
      <c r="L50">
        <v>62.281449294258003</v>
      </c>
      <c r="M50">
        <v>20.202859964704999</v>
      </c>
      <c r="N50">
        <v>56.699512870601602</v>
      </c>
      <c r="O50">
        <v>20.194151064017099</v>
      </c>
      <c r="P50">
        <v>51.426466389869802</v>
      </c>
    </row>
    <row r="51" spans="7:16" x14ac:dyDescent="0.25">
      <c r="I51">
        <v>20.194151064017099</v>
      </c>
      <c r="J51">
        <v>68.183380502685097</v>
      </c>
      <c r="K51">
        <v>20.519863949744799</v>
      </c>
      <c r="L51">
        <v>62.5993984502676</v>
      </c>
      <c r="M51">
        <v>20.516573920595999</v>
      </c>
      <c r="N51">
        <v>57.076687849789401</v>
      </c>
      <c r="O51">
        <v>20.519863949744799</v>
      </c>
      <c r="P51">
        <v>51.848742612694998</v>
      </c>
    </row>
    <row r="52" spans="7:16" x14ac:dyDescent="0.25">
      <c r="I52">
        <v>20.519863949744799</v>
      </c>
      <c r="J52">
        <v>68.501329658694701</v>
      </c>
      <c r="K52">
        <v>20.843461816734099</v>
      </c>
      <c r="L52">
        <v>62.8406991490248</v>
      </c>
      <c r="M52">
        <v>20.845576835472599</v>
      </c>
      <c r="N52">
        <v>57.666218576557</v>
      </c>
      <c r="O52">
        <v>20.845576835472599</v>
      </c>
      <c r="P52">
        <v>52.275986791082801</v>
      </c>
    </row>
    <row r="53" spans="7:16" x14ac:dyDescent="0.25">
      <c r="I53">
        <v>20.845576835472599</v>
      </c>
      <c r="J53">
        <v>68.849086548080095</v>
      </c>
      <c r="K53">
        <v>21.171289721200299</v>
      </c>
      <c r="L53">
        <v>63.039977667270897</v>
      </c>
      <c r="M53">
        <v>21.171289721200299</v>
      </c>
      <c r="N53">
        <v>57.979199777003899</v>
      </c>
      <c r="O53">
        <v>21.1745797503491</v>
      </c>
      <c r="P53">
        <v>52.4255774530248</v>
      </c>
    </row>
    <row r="54" spans="7:16" x14ac:dyDescent="0.25">
      <c r="I54">
        <v>21.171289721200299</v>
      </c>
      <c r="J54">
        <v>69.107420237337806</v>
      </c>
      <c r="K54">
        <v>21.4813265856898</v>
      </c>
      <c r="L54">
        <v>63.488662495981799</v>
      </c>
      <c r="M54">
        <v>21.497002606928</v>
      </c>
      <c r="N54">
        <v>58.406443955391801</v>
      </c>
      <c r="O54">
        <v>21.5002926360768</v>
      </c>
      <c r="P54">
        <v>52.862757542537899</v>
      </c>
    </row>
    <row r="55" spans="7:16" x14ac:dyDescent="0.25">
      <c r="I55">
        <v>21.503835744390901</v>
      </c>
      <c r="J55">
        <v>69.267486673708007</v>
      </c>
      <c r="K55">
        <v>21.822715492655799</v>
      </c>
      <c r="L55">
        <v>63.960618274433401</v>
      </c>
      <c r="M55">
        <v>21.838507632569801</v>
      </c>
      <c r="N55">
        <v>58.610461330497898</v>
      </c>
      <c r="O55">
        <v>21.810377883347901</v>
      </c>
      <c r="P55">
        <v>53.315117496270197</v>
      </c>
    </row>
    <row r="56" spans="7:16" x14ac:dyDescent="0.25">
      <c r="I56">
        <v>21.811611644278699</v>
      </c>
      <c r="J56">
        <v>69.583811690399003</v>
      </c>
      <c r="K56">
        <v>22.1484283783835</v>
      </c>
      <c r="L56">
        <v>64.3530867638827</v>
      </c>
      <c r="M56">
        <v>22.132636238469399</v>
      </c>
      <c r="N56">
        <v>58.890985221268799</v>
      </c>
      <c r="O56">
        <v>22.1484283783835</v>
      </c>
      <c r="P56">
        <v>53.741533682064301</v>
      </c>
    </row>
    <row r="57" spans="7:16" x14ac:dyDescent="0.25">
      <c r="I57">
        <v>22.132484390970301</v>
      </c>
      <c r="J57">
        <v>70.032952178423301</v>
      </c>
      <c r="K57">
        <v>22.4741412641112</v>
      </c>
      <c r="L57">
        <v>64.690907742142798</v>
      </c>
      <c r="M57">
        <v>22.4741412641112</v>
      </c>
      <c r="N57">
        <v>59.2360925343541</v>
      </c>
      <c r="O57">
        <v>22.4741412641112</v>
      </c>
      <c r="P57">
        <v>54.163809904889497</v>
      </c>
    </row>
    <row r="58" spans="7:16" x14ac:dyDescent="0.25">
      <c r="I58">
        <v>22.4741412641112</v>
      </c>
      <c r="J58">
        <v>70.453026486878201</v>
      </c>
      <c r="K58">
        <v>22.815798137252202</v>
      </c>
      <c r="L58">
        <v>64.934719715140503</v>
      </c>
      <c r="M58">
        <v>22.799854149839</v>
      </c>
      <c r="N58">
        <v>59.4937165156744</v>
      </c>
      <c r="O58">
        <v>22.8203535622274</v>
      </c>
      <c r="P58">
        <v>54.425582947998301</v>
      </c>
    </row>
    <row r="59" spans="7:16" x14ac:dyDescent="0.25">
      <c r="I59">
        <v>22.799854149839</v>
      </c>
      <c r="J59">
        <v>70.597806906132604</v>
      </c>
      <c r="K59">
        <v>23.1238252554291</v>
      </c>
      <c r="L59">
        <v>65.102371355802205</v>
      </c>
      <c r="M59">
        <v>23.1255670355667</v>
      </c>
      <c r="N59">
        <v>60.033094548190597</v>
      </c>
      <c r="O59">
        <v>23.133792108438598</v>
      </c>
      <c r="P59">
        <v>54.6479095747165</v>
      </c>
    </row>
    <row r="60" spans="7:16" x14ac:dyDescent="0.25">
      <c r="I60">
        <v>23.1255670355667</v>
      </c>
      <c r="J60">
        <v>70.746845573011996</v>
      </c>
      <c r="K60">
        <v>23.447578638502101</v>
      </c>
      <c r="L60">
        <v>65.435480082094898</v>
      </c>
      <c r="M60">
        <v>23.4512799212945</v>
      </c>
      <c r="N60">
        <v>60.511437698079902</v>
      </c>
      <c r="O60">
        <v>23.4460545808817</v>
      </c>
      <c r="P60">
        <v>55.053658415963902</v>
      </c>
    </row>
    <row r="61" spans="7:16" x14ac:dyDescent="0.25">
      <c r="I61">
        <v>23.4512799212945</v>
      </c>
      <c r="J61">
        <v>71.005179262269806</v>
      </c>
      <c r="K61">
        <v>23.756493394633701</v>
      </c>
      <c r="L61">
        <v>65.813283548873599</v>
      </c>
      <c r="M61">
        <v>23.7769928070222</v>
      </c>
      <c r="N61">
        <v>60.696671469773001</v>
      </c>
      <c r="O61">
        <v>23.7769928070222</v>
      </c>
      <c r="P61">
        <v>55.549869506868497</v>
      </c>
    </row>
    <row r="62" spans="7:16" x14ac:dyDescent="0.25">
      <c r="I62">
        <v>23.797492219410699</v>
      </c>
      <c r="J62">
        <v>71.160332335995605</v>
      </c>
      <c r="K62">
        <v>24.1027056927499</v>
      </c>
      <c r="L62">
        <v>66.176326455374905</v>
      </c>
      <c r="M62">
        <v>24.1044474728875</v>
      </c>
      <c r="N62">
        <v>60.7241413417076</v>
      </c>
      <c r="O62">
        <v>24.1027056927499</v>
      </c>
      <c r="P62">
        <v>55.937370040755198</v>
      </c>
    </row>
    <row r="63" spans="7:16" x14ac:dyDescent="0.25">
      <c r="I63">
        <v>24.105173214611501</v>
      </c>
      <c r="J63">
        <v>71.357904107217905</v>
      </c>
      <c r="K63">
        <v>24.4284185784777</v>
      </c>
      <c r="L63">
        <v>66.375044677880894</v>
      </c>
      <c r="M63">
        <v>24.433970502666199</v>
      </c>
      <c r="N63">
        <v>61.043186370267797</v>
      </c>
      <c r="O63">
        <v>24.4284185784777</v>
      </c>
      <c r="P63">
        <v>56.2602871523274</v>
      </c>
    </row>
    <row r="64" spans="7:16" x14ac:dyDescent="0.25">
      <c r="I64">
        <v>24.4336439188904</v>
      </c>
      <c r="J64">
        <v>71.428624415815605</v>
      </c>
      <c r="K64">
        <v>24.7541314642054</v>
      </c>
      <c r="L64">
        <v>66.663186100514494</v>
      </c>
      <c r="M64">
        <v>24.744878257224499</v>
      </c>
      <c r="N64">
        <v>61.336916742909402</v>
      </c>
      <c r="O64">
        <v>24.756409176693001</v>
      </c>
      <c r="P64">
        <v>56.548428574961001</v>
      </c>
    </row>
    <row r="65" spans="9:16" x14ac:dyDescent="0.25">
      <c r="I65">
        <v>24.7710516141134</v>
      </c>
      <c r="J65">
        <v>71.763857047480101</v>
      </c>
      <c r="K65">
        <v>25.1982853992887</v>
      </c>
      <c r="L65">
        <v>66.991071167649395</v>
      </c>
      <c r="M65">
        <v>25.1982853992887</v>
      </c>
      <c r="N65">
        <v>61.903884671496698</v>
      </c>
      <c r="O65">
        <v>25.1982853992887</v>
      </c>
      <c r="P65">
        <v>56.7852344567806</v>
      </c>
    </row>
    <row r="66" spans="9:16" x14ac:dyDescent="0.25">
      <c r="I66">
        <v>25.1982853992887</v>
      </c>
      <c r="J66">
        <v>72.172648819492295</v>
      </c>
      <c r="K66">
        <v>25.516102215059401</v>
      </c>
      <c r="L66">
        <v>67.073539229989294</v>
      </c>
      <c r="M66">
        <v>25.5239982850164</v>
      </c>
      <c r="N66">
        <v>62.216865871943597</v>
      </c>
      <c r="O66">
        <v>25.508322263778201</v>
      </c>
      <c r="P66">
        <v>57.040256175663302</v>
      </c>
    </row>
    <row r="67" spans="9:16" x14ac:dyDescent="0.25">
      <c r="I67">
        <v>25.5239982850164</v>
      </c>
      <c r="J67">
        <v>72.4260145531874</v>
      </c>
      <c r="K67">
        <v>25.8479693906066</v>
      </c>
      <c r="L67">
        <v>67.288271803367806</v>
      </c>
      <c r="M67">
        <v>25.8497111707442</v>
      </c>
      <c r="N67">
        <v>62.529847072390503</v>
      </c>
      <c r="O67">
        <v>25.833767183330899</v>
      </c>
      <c r="P67">
        <v>57.401770480453003</v>
      </c>
    </row>
    <row r="68" spans="9:16" x14ac:dyDescent="0.25">
      <c r="I68">
        <v>25.8497111707442</v>
      </c>
      <c r="J68">
        <v>72.634668686818699</v>
      </c>
      <c r="K68">
        <v>26.187268161407498</v>
      </c>
      <c r="L68">
        <v>67.583582667754598</v>
      </c>
      <c r="M68">
        <v>26.1959234688604</v>
      </c>
      <c r="N68">
        <v>62.744615612868103</v>
      </c>
      <c r="O68">
        <v>26.175424056471901</v>
      </c>
      <c r="P68">
        <v>57.765577687810001</v>
      </c>
    </row>
    <row r="69" spans="9:16" x14ac:dyDescent="0.25">
      <c r="I69">
        <v>26.175424056471901</v>
      </c>
      <c r="J69">
        <v>72.8184830426367</v>
      </c>
      <c r="K69">
        <v>26.491266854753398</v>
      </c>
      <c r="L69">
        <v>67.928772780099393</v>
      </c>
      <c r="M69">
        <v>26.504838224992</v>
      </c>
      <c r="N69">
        <v>62.949018322988998</v>
      </c>
      <c r="O69">
        <v>26.5011369421997</v>
      </c>
      <c r="P69">
        <v>58.083526843819598</v>
      </c>
    </row>
    <row r="70" spans="9:16" x14ac:dyDescent="0.25">
      <c r="I70">
        <v>26.5011369421997</v>
      </c>
      <c r="J70">
        <v>72.967521709516205</v>
      </c>
      <c r="K70">
        <v>26.826849827927401</v>
      </c>
      <c r="L70">
        <v>68.198284369373098</v>
      </c>
      <c r="M70">
        <v>26.821297903738898</v>
      </c>
      <c r="N70">
        <v>63.249579634529297</v>
      </c>
      <c r="O70">
        <v>26.826849827927401</v>
      </c>
      <c r="P70">
        <v>58.361732355327902</v>
      </c>
    </row>
    <row r="71" spans="9:16" x14ac:dyDescent="0.25">
      <c r="I71">
        <v>26.826849827927401</v>
      </c>
      <c r="J71">
        <v>73.136432198646204</v>
      </c>
      <c r="K71">
        <v>27.152562713655101</v>
      </c>
      <c r="L71">
        <v>68.416874414129595</v>
      </c>
      <c r="M71">
        <v>27.160458783612199</v>
      </c>
      <c r="N71">
        <v>63.5469531745835</v>
      </c>
      <c r="O71">
        <v>27.152562713655101</v>
      </c>
      <c r="P71">
        <v>58.625034000148297</v>
      </c>
    </row>
    <row r="72" spans="9:16" x14ac:dyDescent="0.25">
      <c r="I72">
        <v>27.152562713655101</v>
      </c>
      <c r="J72">
        <v>73.295406776651006</v>
      </c>
      <c r="K72">
        <v>27.478275599382901</v>
      </c>
      <c r="L72">
        <v>68.620560592198203</v>
      </c>
      <c r="M72">
        <v>27.478275599382901</v>
      </c>
      <c r="N72">
        <v>63.905970763244298</v>
      </c>
      <c r="O72">
        <v>27.457918544024899</v>
      </c>
      <c r="P72">
        <v>58.700174328033398</v>
      </c>
    </row>
    <row r="73" spans="9:16" x14ac:dyDescent="0.25">
      <c r="I73">
        <v>27.471442461919999</v>
      </c>
      <c r="J73">
        <v>73.3083998911995</v>
      </c>
      <c r="K73">
        <v>27.803988485110601</v>
      </c>
      <c r="L73">
        <v>68.883862237018604</v>
      </c>
      <c r="M73">
        <v>27.803988485110601</v>
      </c>
      <c r="N73">
        <v>64.154368541376698</v>
      </c>
      <c r="O73">
        <v>27.783489072722201</v>
      </c>
      <c r="P73">
        <v>59.028584852006603</v>
      </c>
    </row>
    <row r="74" spans="9:16" x14ac:dyDescent="0.25">
      <c r="I74">
        <v>27.792144380175099</v>
      </c>
      <c r="J74">
        <v>73.419936862754795</v>
      </c>
      <c r="K74">
        <v>28.129701370838301</v>
      </c>
      <c r="L74">
        <v>69.082580459524607</v>
      </c>
      <c r="M74">
        <v>28.129701370838301</v>
      </c>
      <c r="N74">
        <v>64.402766319509198</v>
      </c>
      <c r="O74">
        <v>28.129701370838301</v>
      </c>
      <c r="P74">
        <v>59.270868223292702</v>
      </c>
    </row>
    <row r="75" spans="9:16" x14ac:dyDescent="0.25">
      <c r="I75">
        <v>28.1336494058169</v>
      </c>
      <c r="J75">
        <v>73.609381568210395</v>
      </c>
      <c r="K75">
        <v>28.455414256566101</v>
      </c>
      <c r="L75">
        <v>69.147163881839006</v>
      </c>
      <c r="M75">
        <v>28.455414256566101</v>
      </c>
      <c r="N75">
        <v>64.676003875454896</v>
      </c>
      <c r="O75">
        <v>28.455414256566101</v>
      </c>
      <c r="P75">
        <v>59.439305573797697</v>
      </c>
    </row>
    <row r="76" spans="9:16" x14ac:dyDescent="0.25">
      <c r="I76">
        <v>28.4531365440785</v>
      </c>
      <c r="J76">
        <v>73.846467693677198</v>
      </c>
      <c r="K76">
        <v>28.801626554682301</v>
      </c>
      <c r="L76">
        <v>69.236259524457097</v>
      </c>
      <c r="M76">
        <v>28.781127142293801</v>
      </c>
      <c r="N76">
        <v>64.934337564712607</v>
      </c>
      <c r="O76">
        <v>28.781127142293801</v>
      </c>
      <c r="P76">
        <v>59.896594054874001</v>
      </c>
    </row>
    <row r="77" spans="9:16" x14ac:dyDescent="0.25">
      <c r="I77">
        <v>28.777179107315298</v>
      </c>
      <c r="J77">
        <v>73.951839304995701</v>
      </c>
      <c r="K77">
        <v>29.102891993042999</v>
      </c>
      <c r="L77">
        <v>69.523829541212805</v>
      </c>
      <c r="M77">
        <v>29.102891993042999</v>
      </c>
      <c r="N77">
        <v>64.989647469976802</v>
      </c>
      <c r="O77">
        <v>29.106840028021601</v>
      </c>
      <c r="P77">
        <v>60.292374514698402</v>
      </c>
    </row>
    <row r="78" spans="9:16" x14ac:dyDescent="0.25">
      <c r="I78">
        <v>29.106840028021601</v>
      </c>
      <c r="J78">
        <v>74.234350377991703</v>
      </c>
      <c r="K78">
        <v>29.428604878770798</v>
      </c>
      <c r="L78">
        <v>69.834019223772202</v>
      </c>
      <c r="M78">
        <v>29.427000989560799</v>
      </c>
      <c r="N78">
        <v>65.216890037338302</v>
      </c>
      <c r="O78">
        <v>29.432552913749301</v>
      </c>
      <c r="P78">
        <v>60.582408491832098</v>
      </c>
    </row>
    <row r="79" spans="9:16" x14ac:dyDescent="0.25">
      <c r="I79">
        <v>29.432552913749301</v>
      </c>
      <c r="J79">
        <v>74.333709489244697</v>
      </c>
      <c r="K79">
        <v>29.758265799477002</v>
      </c>
      <c r="L79">
        <v>70.252888848497193</v>
      </c>
      <c r="M79">
        <v>29.749012592496101</v>
      </c>
      <c r="N79">
        <v>65.490127593284001</v>
      </c>
      <c r="O79">
        <v>29.758265799477002</v>
      </c>
      <c r="P79">
        <v>60.7016394253356</v>
      </c>
    </row>
    <row r="80" spans="9:16" x14ac:dyDescent="0.25">
      <c r="I80">
        <v>29.758265799477002</v>
      </c>
      <c r="J80">
        <v>74.408228822684407</v>
      </c>
      <c r="K80">
        <v>30.202419734560301</v>
      </c>
      <c r="L80">
        <v>70.518319617130203</v>
      </c>
      <c r="M80">
        <v>30.202419734560301</v>
      </c>
      <c r="N80">
        <v>65.9229607216798</v>
      </c>
      <c r="O80">
        <v>30.204270375956501</v>
      </c>
      <c r="P80">
        <v>60.831427264409797</v>
      </c>
    </row>
    <row r="81" spans="9:16" x14ac:dyDescent="0.25">
      <c r="I81">
        <v>30.202419734560301</v>
      </c>
      <c r="J81">
        <v>74.522491800625303</v>
      </c>
      <c r="K81">
        <v>30.528132620288101</v>
      </c>
      <c r="L81">
        <v>70.6077428172579</v>
      </c>
      <c r="M81">
        <v>30.528132620288101</v>
      </c>
      <c r="N81">
        <v>66.121678944185803</v>
      </c>
      <c r="O81">
        <v>30.5336845444766</v>
      </c>
      <c r="P81">
        <v>61.091002942558198</v>
      </c>
    </row>
    <row r="82" spans="9:16" x14ac:dyDescent="0.25">
      <c r="I82">
        <v>30.528132620288101</v>
      </c>
      <c r="J82">
        <v>74.582107267377097</v>
      </c>
      <c r="K82">
        <v>30.853845506015801</v>
      </c>
      <c r="L82">
        <v>70.756781484137306</v>
      </c>
      <c r="M82">
        <v>30.853845506015801</v>
      </c>
      <c r="N82">
        <v>66.325365122254397</v>
      </c>
      <c r="O82">
        <v>30.849615468538801</v>
      </c>
      <c r="P82">
        <v>61.404250283481701</v>
      </c>
    </row>
    <row r="83" spans="9:16" x14ac:dyDescent="0.25">
      <c r="I83">
        <v>30.853845506015801</v>
      </c>
      <c r="J83">
        <v>74.681466378630105</v>
      </c>
      <c r="K83">
        <v>31.179558391743502</v>
      </c>
      <c r="L83">
        <v>70.915756062142094</v>
      </c>
      <c r="M83">
        <v>31.179558391743502</v>
      </c>
      <c r="N83">
        <v>66.538987211448301</v>
      </c>
      <c r="O83">
        <v>31.179558391743502</v>
      </c>
      <c r="P83">
        <v>61.715102360115999</v>
      </c>
    </row>
    <row r="84" spans="9:16" x14ac:dyDescent="0.25">
      <c r="I84">
        <v>31.179558391743502</v>
      </c>
      <c r="J84">
        <v>74.701338200880699</v>
      </c>
      <c r="K84">
        <v>31.505271277471302</v>
      </c>
      <c r="L84">
        <v>71.124410195773393</v>
      </c>
      <c r="M84">
        <v>31.505271277471302</v>
      </c>
      <c r="N84">
        <v>66.722801567266302</v>
      </c>
      <c r="O84">
        <v>31.505271277471302</v>
      </c>
      <c r="P84">
        <v>61.958532182685801</v>
      </c>
    </row>
    <row r="85" spans="9:16" x14ac:dyDescent="0.25">
      <c r="I85">
        <v>31.505271277471302</v>
      </c>
      <c r="J85">
        <v>74.800697312133707</v>
      </c>
      <c r="K85">
        <v>31.851483575587501</v>
      </c>
      <c r="L85">
        <v>71.168739645409303</v>
      </c>
      <c r="M85">
        <v>31.830984163198998</v>
      </c>
      <c r="N85">
        <v>66.901647967521697</v>
      </c>
      <c r="O85">
        <v>31.830984163198998</v>
      </c>
      <c r="P85">
        <v>62.1870581385677</v>
      </c>
    </row>
    <row r="86" spans="9:16" x14ac:dyDescent="0.25">
      <c r="I86">
        <v>31.682932851504599</v>
      </c>
      <c r="J86">
        <v>74.800697312133707</v>
      </c>
      <c r="K86">
        <v>32.149863911463903</v>
      </c>
      <c r="L86">
        <v>71.341089488390494</v>
      </c>
      <c r="M86">
        <v>32.177196461315198</v>
      </c>
      <c r="N86">
        <v>67.015528795034697</v>
      </c>
      <c r="O86">
        <v>32.156697048926802</v>
      </c>
      <c r="P86">
        <v>62.4553277389507</v>
      </c>
    </row>
    <row r="87" spans="9:16" x14ac:dyDescent="0.25">
      <c r="K87">
        <v>32.478461899675999</v>
      </c>
      <c r="L87">
        <v>71.438053790295299</v>
      </c>
      <c r="M87">
        <v>32.498202074568603</v>
      </c>
      <c r="N87">
        <v>67.139116243416296</v>
      </c>
      <c r="O87">
        <v>32.482409934654498</v>
      </c>
      <c r="P87">
        <v>62.668949828144697</v>
      </c>
    </row>
    <row r="88" spans="9:16" x14ac:dyDescent="0.25">
      <c r="K88">
        <v>32.803892782905201</v>
      </c>
      <c r="L88">
        <v>71.662368812414499</v>
      </c>
      <c r="M88">
        <v>32.805845107894598</v>
      </c>
      <c r="N88">
        <v>67.398061373358701</v>
      </c>
      <c r="O88">
        <v>32.810400532869799</v>
      </c>
      <c r="P88">
        <v>62.799263124057198</v>
      </c>
    </row>
    <row r="89" spans="9:16" x14ac:dyDescent="0.25">
      <c r="K89">
        <v>33.133835706109998</v>
      </c>
      <c r="L89">
        <v>71.841924920607397</v>
      </c>
      <c r="M89">
        <v>33.133835706109998</v>
      </c>
      <c r="N89">
        <v>67.496146649851994</v>
      </c>
      <c r="O89">
        <v>33.131985064713803</v>
      </c>
      <c r="P89">
        <v>62.935356445191701</v>
      </c>
    </row>
    <row r="90" spans="9:16" x14ac:dyDescent="0.25">
      <c r="K90">
        <v>33.447210982529803</v>
      </c>
      <c r="L90">
        <v>72.086537589739706</v>
      </c>
      <c r="M90">
        <v>33.461826304325299</v>
      </c>
      <c r="N90">
        <v>67.717539131079803</v>
      </c>
      <c r="O90">
        <v>33.4713926967733</v>
      </c>
      <c r="P90">
        <v>63.211781772623397</v>
      </c>
    </row>
    <row r="91" spans="9:16" x14ac:dyDescent="0.25">
      <c r="K91">
        <v>33.785261477565498</v>
      </c>
      <c r="L91">
        <v>72.272007930745303</v>
      </c>
      <c r="M91">
        <v>33.780326433842298</v>
      </c>
      <c r="N91">
        <v>67.892341105973301</v>
      </c>
      <c r="O91">
        <v>33.797105582500997</v>
      </c>
      <c r="P91">
        <v>63.430371817379999</v>
      </c>
    </row>
    <row r="92" spans="9:16" x14ac:dyDescent="0.25">
      <c r="K92">
        <v>34.110974363293202</v>
      </c>
      <c r="L92">
        <v>72.435950464312697</v>
      </c>
      <c r="M92">
        <v>34.110974363293202</v>
      </c>
      <c r="N92">
        <v>68.064149569181595</v>
      </c>
      <c r="O92">
        <v>34.108696650805598</v>
      </c>
      <c r="P92">
        <v>63.682030612497201</v>
      </c>
    </row>
    <row r="93" spans="9:16" x14ac:dyDescent="0.25">
      <c r="K93">
        <v>34.436687249020899</v>
      </c>
      <c r="L93">
        <v>72.614796864568106</v>
      </c>
      <c r="M93">
        <v>34.436687249020899</v>
      </c>
      <c r="N93">
        <v>68.242995969436905</v>
      </c>
      <c r="O93">
        <v>34.436687249020899</v>
      </c>
      <c r="P93">
        <v>63.886098940993698</v>
      </c>
    </row>
    <row r="94" spans="9:16" x14ac:dyDescent="0.25">
      <c r="K94">
        <v>34.762400134748702</v>
      </c>
      <c r="L94">
        <v>72.758867575884906</v>
      </c>
      <c r="M94">
        <v>34.762400134748702</v>
      </c>
      <c r="N94">
        <v>68.411906458567003</v>
      </c>
      <c r="O94">
        <v>34.762400134748702</v>
      </c>
      <c r="P94">
        <v>64.064945341249</v>
      </c>
    </row>
    <row r="95" spans="9:16" x14ac:dyDescent="0.25">
      <c r="K95">
        <v>35.206554069831903</v>
      </c>
      <c r="L95">
        <v>72.982425576204093</v>
      </c>
      <c r="M95">
        <v>35.206554069831903</v>
      </c>
      <c r="N95">
        <v>68.610624681072906</v>
      </c>
      <c r="O95">
        <v>35.206554069831903</v>
      </c>
      <c r="P95">
        <v>64.293471297130907</v>
      </c>
    </row>
    <row r="96" spans="9:16" x14ac:dyDescent="0.25">
      <c r="K96">
        <v>35.532266955559699</v>
      </c>
      <c r="L96">
        <v>73.121528331958302</v>
      </c>
      <c r="M96">
        <v>35.532266955559699</v>
      </c>
      <c r="N96">
        <v>68.784503125765696</v>
      </c>
      <c r="O96">
        <v>35.532266955559699</v>
      </c>
      <c r="P96">
        <v>64.472317697386302</v>
      </c>
    </row>
    <row r="97" spans="11:16" x14ac:dyDescent="0.25">
      <c r="K97">
        <v>35.857979841287403</v>
      </c>
      <c r="L97">
        <v>73.270566998837793</v>
      </c>
      <c r="M97">
        <v>35.857979841287403</v>
      </c>
      <c r="N97">
        <v>68.9583815704584</v>
      </c>
      <c r="O97">
        <v>35.857979841287403</v>
      </c>
      <c r="P97">
        <v>64.631292275391004</v>
      </c>
    </row>
    <row r="98" spans="11:16" x14ac:dyDescent="0.25">
      <c r="K98">
        <v>36.181415014527602</v>
      </c>
      <c r="L98">
        <v>73.299992581785801</v>
      </c>
      <c r="M98">
        <v>36.183692727015199</v>
      </c>
      <c r="N98">
        <v>69.097484326212594</v>
      </c>
      <c r="O98">
        <v>36.183692727015199</v>
      </c>
      <c r="P98">
        <v>64.825042542334401</v>
      </c>
    </row>
    <row r="99" spans="11:16" x14ac:dyDescent="0.25">
      <c r="K99">
        <v>36.509405612742903</v>
      </c>
      <c r="L99">
        <v>73.403282383154306</v>
      </c>
      <c r="M99">
        <v>36.509405612742903</v>
      </c>
      <c r="N99">
        <v>69.142195926276401</v>
      </c>
      <c r="O99">
        <v>36.509405612742903</v>
      </c>
      <c r="P99">
        <v>64.979049164776498</v>
      </c>
    </row>
    <row r="100" spans="11:16" x14ac:dyDescent="0.25">
      <c r="K100">
        <v>36.826658423516697</v>
      </c>
      <c r="L100">
        <v>73.575031704034402</v>
      </c>
      <c r="M100">
        <v>36.835118498470599</v>
      </c>
      <c r="N100">
        <v>69.211747304153505</v>
      </c>
      <c r="O100">
        <v>36.828285361007801</v>
      </c>
      <c r="P100">
        <v>65.001978190450203</v>
      </c>
    </row>
    <row r="101" spans="11:16" x14ac:dyDescent="0.25">
      <c r="K101">
        <v>37.155896340475202</v>
      </c>
      <c r="L101">
        <v>73.789718355134596</v>
      </c>
      <c r="M101">
        <v>37.163109096686</v>
      </c>
      <c r="N101">
        <v>69.310123742877593</v>
      </c>
      <c r="O101">
        <v>37.164779419176902</v>
      </c>
      <c r="P101">
        <v>65.084369822704602</v>
      </c>
    </row>
    <row r="102" spans="11:16" x14ac:dyDescent="0.25">
      <c r="K102">
        <v>37.474700164990601</v>
      </c>
      <c r="L102">
        <v>73.857116952267901</v>
      </c>
      <c r="M102">
        <v>37.479711132463301</v>
      </c>
      <c r="N102">
        <v>69.498687682585199</v>
      </c>
      <c r="O102">
        <v>37.497932832364199</v>
      </c>
      <c r="P102">
        <v>65.296234019930196</v>
      </c>
    </row>
    <row r="103" spans="11:16" x14ac:dyDescent="0.25">
      <c r="K103">
        <v>37.819090293116702</v>
      </c>
      <c r="L103">
        <v>74.048243119606298</v>
      </c>
      <c r="M103">
        <v>37.812257155653903</v>
      </c>
      <c r="N103">
        <v>69.667474427767203</v>
      </c>
      <c r="O103">
        <v>37.809979443166299</v>
      </c>
      <c r="P103">
        <v>65.430750970549695</v>
      </c>
    </row>
    <row r="104" spans="11:16" x14ac:dyDescent="0.25">
      <c r="K104">
        <v>38.1379700413816</v>
      </c>
      <c r="L104">
        <v>74.224414466866406</v>
      </c>
      <c r="M104">
        <v>38.142905085104701</v>
      </c>
      <c r="N104">
        <v>69.977403884082705</v>
      </c>
      <c r="O104">
        <v>38.1379700413816</v>
      </c>
      <c r="P104">
        <v>65.5340407719181</v>
      </c>
    </row>
    <row r="105" spans="11:16" x14ac:dyDescent="0.25">
      <c r="K105">
        <v>38.463682927109303</v>
      </c>
      <c r="L105">
        <v>74.313837666994104</v>
      </c>
      <c r="M105">
        <v>38.463682927109303</v>
      </c>
      <c r="N105">
        <v>70.188541995495299</v>
      </c>
      <c r="O105">
        <v>38.467912964586297</v>
      </c>
      <c r="P105">
        <v>65.682369730860103</v>
      </c>
    </row>
    <row r="106" spans="11:16" x14ac:dyDescent="0.25">
      <c r="K106">
        <v>38.7893958128371</v>
      </c>
      <c r="L106">
        <v>74.443004511623002</v>
      </c>
      <c r="M106">
        <v>38.7893958128371</v>
      </c>
      <c r="N106">
        <v>70.3794534306885</v>
      </c>
      <c r="O106">
        <v>38.7893958128371</v>
      </c>
      <c r="P106">
        <v>65.913024810554504</v>
      </c>
    </row>
    <row r="107" spans="11:16" x14ac:dyDescent="0.25">
      <c r="K107">
        <v>39.115108698564804</v>
      </c>
      <c r="L107">
        <v>74.552299534001193</v>
      </c>
      <c r="M107">
        <v>39.115108698564804</v>
      </c>
      <c r="N107">
        <v>70.498447794879596</v>
      </c>
      <c r="O107">
        <v>39.115108698564804</v>
      </c>
      <c r="P107">
        <v>66.017351877370103</v>
      </c>
    </row>
    <row r="108" spans="11:16" x14ac:dyDescent="0.25">
      <c r="K108">
        <v>39.4408215842925</v>
      </c>
      <c r="L108">
        <v>74.681466378630105</v>
      </c>
      <c r="M108">
        <v>39.4408215842925</v>
      </c>
      <c r="N108">
        <v>70.5679991727567</v>
      </c>
      <c r="O108">
        <v>39.4408215842925</v>
      </c>
      <c r="P108">
        <v>66.151486677561707</v>
      </c>
    </row>
    <row r="109" spans="11:16" x14ac:dyDescent="0.25">
      <c r="K109">
        <v>39.766534470020297</v>
      </c>
      <c r="L109">
        <v>74.805665267696298</v>
      </c>
      <c r="M109">
        <v>39.766534470020297</v>
      </c>
      <c r="N109">
        <v>70.632582595071099</v>
      </c>
      <c r="O109">
        <v>39.766534470020297</v>
      </c>
      <c r="P109">
        <v>66.255813744377306</v>
      </c>
    </row>
    <row r="110" spans="11:16" x14ac:dyDescent="0.25">
      <c r="K110">
        <v>40.210688405103603</v>
      </c>
      <c r="L110">
        <v>74.989479623514399</v>
      </c>
      <c r="M110">
        <v>40.210688405103603</v>
      </c>
      <c r="N110">
        <v>70.761749439699997</v>
      </c>
      <c r="O110">
        <v>40.210688405103603</v>
      </c>
      <c r="P110">
        <v>66.389948544568796</v>
      </c>
    </row>
    <row r="111" spans="11:16" x14ac:dyDescent="0.25">
      <c r="K111">
        <v>40.491985897322998</v>
      </c>
      <c r="L111">
        <v>75.080765806977993</v>
      </c>
      <c r="M111">
        <v>40.491985897322998</v>
      </c>
      <c r="N111">
        <v>70.845583689819705</v>
      </c>
      <c r="O111">
        <v>40.491985897322998</v>
      </c>
      <c r="P111">
        <v>66.487444672485793</v>
      </c>
    </row>
    <row r="112" spans="11:16" x14ac:dyDescent="0.25">
      <c r="K112">
        <v>44.741058542952999</v>
      </c>
      <c r="L112">
        <v>76.549417670186202</v>
      </c>
      <c r="M112">
        <v>44.741058542952999</v>
      </c>
      <c r="N112">
        <v>72.127937219428503</v>
      </c>
      <c r="O112">
        <v>44.7570025303663</v>
      </c>
      <c r="P112">
        <v>67.692317202838694</v>
      </c>
    </row>
    <row r="113" spans="11:16" x14ac:dyDescent="0.25">
      <c r="K113">
        <v>45.088979125434903</v>
      </c>
      <c r="L113">
        <v>76.638219875868501</v>
      </c>
      <c r="M113">
        <v>45.088979125434903</v>
      </c>
      <c r="N113">
        <v>72.204940530649594</v>
      </c>
      <c r="O113">
        <v>45.088979125434903</v>
      </c>
      <c r="P113">
        <v>67.860463391112901</v>
      </c>
    </row>
    <row r="114" spans="11:16" x14ac:dyDescent="0.25">
      <c r="K114">
        <v>45.392484314408499</v>
      </c>
      <c r="L114">
        <v>76.718328159316201</v>
      </c>
      <c r="M114">
        <v>45.392484314408499</v>
      </c>
      <c r="N114">
        <v>72.286911797433305</v>
      </c>
      <c r="O114">
        <v>45.371984902020102</v>
      </c>
      <c r="P114">
        <v>67.868870700526699</v>
      </c>
    </row>
    <row r="115" spans="11:16" x14ac:dyDescent="0.25">
      <c r="K115">
        <v>45.718197200136203</v>
      </c>
      <c r="L115">
        <v>76.827623181694506</v>
      </c>
      <c r="M115">
        <v>45.718197200136203</v>
      </c>
      <c r="N115">
        <v>72.3862709086862</v>
      </c>
      <c r="O115">
        <v>45.718197200136203</v>
      </c>
      <c r="P115">
        <v>67.984662280179194</v>
      </c>
    </row>
    <row r="116" spans="11:16" x14ac:dyDescent="0.25">
      <c r="K116">
        <v>46.043910085863999</v>
      </c>
      <c r="L116">
        <v>76.907110470696907</v>
      </c>
      <c r="M116">
        <v>46.043910085863999</v>
      </c>
      <c r="N116">
        <v>72.455822286563304</v>
      </c>
      <c r="O116">
        <v>46.043910085863999</v>
      </c>
      <c r="P116">
        <v>68.034341835805606</v>
      </c>
    </row>
    <row r="117" spans="11:16" x14ac:dyDescent="0.25">
      <c r="K117">
        <v>46.369622971591703</v>
      </c>
      <c r="L117">
        <v>77.006469581949901</v>
      </c>
      <c r="M117">
        <v>46.369622971591703</v>
      </c>
      <c r="N117">
        <v>72.565117308941595</v>
      </c>
      <c r="O117">
        <v>46.369622971591703</v>
      </c>
      <c r="P117">
        <v>68.1337009470586</v>
      </c>
    </row>
    <row r="118" spans="11:16" x14ac:dyDescent="0.25">
      <c r="K118">
        <v>46.695335857319499</v>
      </c>
      <c r="L118">
        <v>77.095892782077598</v>
      </c>
      <c r="M118">
        <v>46.695335857319499</v>
      </c>
      <c r="N118">
        <v>72.644604597943996</v>
      </c>
      <c r="O118">
        <v>46.695335857319499</v>
      </c>
      <c r="P118">
        <v>68.213188236061001</v>
      </c>
    </row>
    <row r="119" spans="11:16" x14ac:dyDescent="0.25">
      <c r="K119">
        <v>47.021048743047203</v>
      </c>
      <c r="L119">
        <v>77.195251893330493</v>
      </c>
      <c r="M119">
        <v>47.021048743047203</v>
      </c>
      <c r="N119">
        <v>72.724091886946397</v>
      </c>
      <c r="O119">
        <v>47.021048743047203</v>
      </c>
      <c r="P119">
        <v>68.262867791687498</v>
      </c>
    </row>
    <row r="120" spans="11:16" x14ac:dyDescent="0.25">
      <c r="K120">
        <v>47.3467616287749</v>
      </c>
      <c r="L120">
        <v>77.274739182332894</v>
      </c>
      <c r="M120">
        <v>47.3467616287749</v>
      </c>
      <c r="N120">
        <v>72.828418953761997</v>
      </c>
      <c r="O120">
        <v>47.3467616287749</v>
      </c>
      <c r="P120">
        <v>68.352290991815195</v>
      </c>
    </row>
    <row r="121" spans="11:16" x14ac:dyDescent="0.25">
      <c r="K121">
        <v>47.672474514502703</v>
      </c>
      <c r="L121">
        <v>77.324418737959405</v>
      </c>
      <c r="M121">
        <v>47.672474514502703</v>
      </c>
      <c r="N121">
        <v>72.848290776012604</v>
      </c>
      <c r="O121">
        <v>47.672474514502703</v>
      </c>
      <c r="P121">
        <v>68.451650103068204</v>
      </c>
    </row>
    <row r="122" spans="11:16" x14ac:dyDescent="0.25">
      <c r="K122">
        <v>47.9981874002304</v>
      </c>
      <c r="L122">
        <v>77.423777849212399</v>
      </c>
      <c r="M122">
        <v>47.9981874002304</v>
      </c>
      <c r="N122">
        <v>72.942681931702893</v>
      </c>
      <c r="O122">
        <v>47.9981874002304</v>
      </c>
      <c r="P122">
        <v>68.531137392070605</v>
      </c>
    </row>
    <row r="123" spans="11:16" x14ac:dyDescent="0.25">
      <c r="K123">
        <v>48.323900285958203</v>
      </c>
      <c r="L123">
        <v>77.428745804775005</v>
      </c>
      <c r="M123">
        <v>48.323900285958203</v>
      </c>
      <c r="N123">
        <v>73.002297398454701</v>
      </c>
      <c r="O123">
        <v>48.323900285958203</v>
      </c>
      <c r="P123">
        <v>68.610624681072906</v>
      </c>
    </row>
    <row r="124" spans="11:16" x14ac:dyDescent="0.25">
      <c r="K124">
        <v>48.6496131716859</v>
      </c>
      <c r="L124">
        <v>77.528104916027999</v>
      </c>
      <c r="M124">
        <v>48.6496131716859</v>
      </c>
      <c r="N124">
        <v>73.051976954081198</v>
      </c>
      <c r="O124">
        <v>48.6496131716859</v>
      </c>
      <c r="P124">
        <v>68.685144014512701</v>
      </c>
    </row>
    <row r="125" spans="11:16" x14ac:dyDescent="0.25">
      <c r="K125">
        <v>48.975326057413596</v>
      </c>
      <c r="L125">
        <v>77.533072871590704</v>
      </c>
      <c r="M125">
        <v>48.975326057413596</v>
      </c>
      <c r="N125">
        <v>73.136432198646204</v>
      </c>
      <c r="O125">
        <v>48.975326057413596</v>
      </c>
      <c r="P125">
        <v>68.784503125765696</v>
      </c>
    </row>
    <row r="126" spans="11:16" x14ac:dyDescent="0.25">
      <c r="K126">
        <v>49.3010389431414</v>
      </c>
      <c r="L126">
        <v>77.587720382779807</v>
      </c>
      <c r="M126">
        <v>49.3010389431414</v>
      </c>
      <c r="N126">
        <v>73.161271976459503</v>
      </c>
      <c r="O126">
        <v>49.3010389431414</v>
      </c>
      <c r="P126">
        <v>68.868958370330702</v>
      </c>
    </row>
    <row r="127" spans="11:16" x14ac:dyDescent="0.25">
      <c r="K127">
        <v>49.626751828869097</v>
      </c>
      <c r="L127">
        <v>77.587720382779807</v>
      </c>
      <c r="M127">
        <v>49.626751828869097</v>
      </c>
      <c r="N127">
        <v>73.265599043275103</v>
      </c>
      <c r="O127">
        <v>49.626751828869097</v>
      </c>
      <c r="P127">
        <v>68.898766103706606</v>
      </c>
    </row>
    <row r="128" spans="11:16" x14ac:dyDescent="0.25">
      <c r="K128">
        <v>49.863633927580203</v>
      </c>
      <c r="L128">
        <v>77.587720382779807</v>
      </c>
      <c r="M128">
        <v>49.863633927580203</v>
      </c>
      <c r="N128">
        <v>73.270566998837793</v>
      </c>
      <c r="O128">
        <v>49.863633927580203</v>
      </c>
      <c r="P128">
        <v>68.898766103706606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F8E95-2DF7-4991-B60E-224BB9443891}">
  <sheetPr codeName="Sheet11"/>
  <dimension ref="A1:L74"/>
  <sheetViews>
    <sheetView workbookViewId="0">
      <selection activeCell="I37" sqref="I37"/>
    </sheetView>
  </sheetViews>
  <sheetFormatPr defaultRowHeight="15" x14ac:dyDescent="0.25"/>
  <sheetData>
    <row r="1" spans="1:12" x14ac:dyDescent="0.25">
      <c r="A1">
        <v>3.32623464642593</v>
      </c>
      <c r="B1">
        <v>22.397224953036801</v>
      </c>
      <c r="C1">
        <v>4.4956334609527202</v>
      </c>
      <c r="D1">
        <v>11.076880798192001</v>
      </c>
      <c r="E1">
        <v>4.4824620035175098</v>
      </c>
      <c r="F1">
        <v>8.3717029220454506</v>
      </c>
      <c r="G1">
        <v>4.4692055689375696</v>
      </c>
      <c r="H1">
        <v>5.6490722854075797</v>
      </c>
      <c r="K1" t="s">
        <v>24</v>
      </c>
      <c r="L1" t="s">
        <v>25</v>
      </c>
    </row>
    <row r="2" spans="1:12" x14ac:dyDescent="0.25">
      <c r="A2">
        <v>6.5207602161054501</v>
      </c>
      <c r="B2">
        <v>24.611337640874002</v>
      </c>
      <c r="C2">
        <v>9.8920220607281308</v>
      </c>
      <c r="D2">
        <v>12.825148042813799</v>
      </c>
      <c r="E2">
        <v>9.6038504000463103</v>
      </c>
      <c r="F2">
        <v>9.5273948372896609</v>
      </c>
      <c r="G2">
        <v>9.8613028229034398</v>
      </c>
      <c r="H2">
        <v>6.5159751252203302</v>
      </c>
      <c r="J2" t="s">
        <v>19</v>
      </c>
      <c r="K2" cm="1">
        <f t="array" ref="K2">EXP(INDEX(LINEST(LN(B1:B50),LN(A1:A50),,),1,2))</f>
        <v>11.186202007037565</v>
      </c>
      <c r="L2" cm="1">
        <f t="array" ref="L2">INDEX(LINEST(LN(B1:B50), LN(A1:A50),,),1)</f>
        <v>0.39032049170629202</v>
      </c>
    </row>
    <row r="3" spans="1:12" x14ac:dyDescent="0.25">
      <c r="A3">
        <v>9.7153970653792801</v>
      </c>
      <c r="B3">
        <v>26.848305134116401</v>
      </c>
      <c r="C3">
        <v>15.2884106605035</v>
      </c>
      <c r="D3">
        <v>14.5734152874356</v>
      </c>
      <c r="E3">
        <v>15.2701830629561</v>
      </c>
      <c r="F3">
        <v>10.8297981620585</v>
      </c>
      <c r="G3">
        <v>15.2533150997245</v>
      </c>
      <c r="H3">
        <v>7.36542520454182</v>
      </c>
      <c r="J3" t="s">
        <v>20</v>
      </c>
      <c r="K3" cm="1">
        <f t="array" ref="K3">EXP(INDEX(LINEST(LN(D1:D74),LN(C1:C74),,),1,2))</f>
        <v>4.739685354873429</v>
      </c>
      <c r="L3" cm="1">
        <f t="array" ref="L3">INDEX(LINEST(LN(D1:D74),LN(C1:C74),,),1)</f>
        <v>0.43068652711647659</v>
      </c>
    </row>
    <row r="4" spans="1:12" x14ac:dyDescent="0.25">
      <c r="A4">
        <v>12.9097668436267</v>
      </c>
      <c r="B4">
        <v>29.030421094386199</v>
      </c>
      <c r="C4">
        <v>20.684799260278901</v>
      </c>
      <c r="D4">
        <v>16.321682532057402</v>
      </c>
      <c r="E4">
        <v>20.6638948826721</v>
      </c>
      <c r="F4">
        <v>12.028303451205399</v>
      </c>
      <c r="G4">
        <v>20.6454123536904</v>
      </c>
      <c r="H4">
        <v>8.2323280443545599</v>
      </c>
      <c r="J4" t="s">
        <v>21</v>
      </c>
      <c r="K4" cm="1">
        <f t="array" ref="K4">EXP(INDEX(LINEST(LN(F1:F73),LN(E1:E73),,),1,2))</f>
        <v>3.499348344819412</v>
      </c>
      <c r="L4" cm="1">
        <f t="array" ref="L4">INDEX(LINEST(LN(F1:F73),LN(E1:E73),,),1)</f>
        <v>0.4356528418718783</v>
      </c>
    </row>
    <row r="5" spans="1:12" x14ac:dyDescent="0.25">
      <c r="A5">
        <v>16.349975501616498</v>
      </c>
      <c r="B5">
        <v>31.404653383491599</v>
      </c>
      <c r="C5">
        <v>26.449091097148699</v>
      </c>
      <c r="D5">
        <v>18.182505867489098</v>
      </c>
      <c r="E5">
        <v>26.425430273409201</v>
      </c>
      <c r="F5">
        <v>13.3230028682016</v>
      </c>
      <c r="G5">
        <v>26.405041069742399</v>
      </c>
      <c r="H5">
        <v>9.13543114782793</v>
      </c>
      <c r="J5" t="s">
        <v>22</v>
      </c>
      <c r="K5" cm="1">
        <f t="array" ref="K5">EXP(INDEX(LINEST(LN(H1:H72),LN(G1:G72),,),1,2))</f>
        <v>2.2509586677924784</v>
      </c>
      <c r="L5" cm="1">
        <f t="array" ref="L5">INDEX(LINEST(LN(H1:H72),LN(G1:G72),,),1)</f>
        <v>0.44316989343818364</v>
      </c>
    </row>
    <row r="6" spans="1:12" x14ac:dyDescent="0.25">
      <c r="A6">
        <v>19.788982339987701</v>
      </c>
      <c r="B6">
        <v>33.5320537742205</v>
      </c>
      <c r="C6">
        <v>31.477533971257401</v>
      </c>
      <c r="D6">
        <v>19.809490641055401</v>
      </c>
      <c r="E6">
        <v>31.451403499248801</v>
      </c>
      <c r="F6">
        <v>14.442766789990401</v>
      </c>
      <c r="G6">
        <v>31.134880630509102</v>
      </c>
      <c r="H6">
        <v>9.7931882389985905</v>
      </c>
    </row>
    <row r="7" spans="1:12" x14ac:dyDescent="0.25">
      <c r="A7">
        <v>22.982517521277899</v>
      </c>
      <c r="B7">
        <v>35.5427586939511</v>
      </c>
      <c r="C7">
        <v>36.873837593887998</v>
      </c>
      <c r="D7">
        <v>21.540305125185899</v>
      </c>
      <c r="E7">
        <v>36.845242784681901</v>
      </c>
      <c r="F7">
        <v>15.667451219874099</v>
      </c>
      <c r="G7">
        <v>36.820217015555002</v>
      </c>
      <c r="H7">
        <v>10.5276132551956</v>
      </c>
    </row>
    <row r="8" spans="1:12" x14ac:dyDescent="0.25">
      <c r="A8">
        <v>27.895205591031601</v>
      </c>
      <c r="B8">
        <v>38.5451711720196</v>
      </c>
      <c r="C8">
        <v>42.268484162196202</v>
      </c>
      <c r="D8">
        <v>22.9307907797367</v>
      </c>
      <c r="E8">
        <v>42.238742161536003</v>
      </c>
      <c r="F8">
        <v>16.822324607792801</v>
      </c>
      <c r="G8">
        <v>42.211337032356397</v>
      </c>
      <c r="H8">
        <v>11.1938093493587</v>
      </c>
    </row>
    <row r="9" spans="1:12" x14ac:dyDescent="0.25">
      <c r="A9">
        <v>31.826173951852699</v>
      </c>
      <c r="B9">
        <v>41.115083974202904</v>
      </c>
      <c r="C9">
        <v>47.4173130950483</v>
      </c>
      <c r="D9">
        <v>24.1335232955748</v>
      </c>
      <c r="E9">
        <v>47.386466391506502</v>
      </c>
      <c r="F9">
        <v>17.7981712372444</v>
      </c>
      <c r="G9">
        <v>47.3573957102899</v>
      </c>
      <c r="H9">
        <v>11.827581873181501</v>
      </c>
    </row>
    <row r="10" spans="1:12" x14ac:dyDescent="0.25">
      <c r="A10">
        <v>35.755681767998603</v>
      </c>
      <c r="B10">
        <v>43.385027455442497</v>
      </c>
      <c r="C10">
        <v>54.037138891978501</v>
      </c>
      <c r="D10">
        <v>25.6599476610909</v>
      </c>
      <c r="E10">
        <v>54.004847576976097</v>
      </c>
      <c r="F10">
        <v>19.027898674408899</v>
      </c>
      <c r="G10">
        <v>53.973830919144802</v>
      </c>
      <c r="H10">
        <v>12.657641095095901</v>
      </c>
    </row>
    <row r="11" spans="1:12" x14ac:dyDescent="0.25">
      <c r="A11">
        <v>40.174179941426402</v>
      </c>
      <c r="B11">
        <v>45.487260043816903</v>
      </c>
      <c r="C11">
        <v>59.431233108845802</v>
      </c>
      <c r="D11">
        <v>26.936990372448399</v>
      </c>
      <c r="E11">
        <v>59.397752113816999</v>
      </c>
      <c r="F11">
        <v>20.060602738888701</v>
      </c>
      <c r="G11">
        <v>59.364398584505302</v>
      </c>
      <c r="H11">
        <v>13.210394246065899</v>
      </c>
    </row>
    <row r="12" spans="1:12" x14ac:dyDescent="0.25">
      <c r="A12">
        <v>45.083432810103901</v>
      </c>
      <c r="B12">
        <v>47.7841446790259</v>
      </c>
      <c r="C12">
        <v>64.8251573714237</v>
      </c>
      <c r="D12">
        <v>28.179127562823499</v>
      </c>
      <c r="E12">
        <v>64.790401719223695</v>
      </c>
      <c r="F12">
        <v>21.040948521894698</v>
      </c>
      <c r="G12">
        <v>64.754668829859199</v>
      </c>
      <c r="H12">
        <v>13.7020627353163</v>
      </c>
    </row>
    <row r="13" spans="1:12" x14ac:dyDescent="0.25">
      <c r="A13">
        <v>49.256353054438101</v>
      </c>
      <c r="B13">
        <v>49.747855457239901</v>
      </c>
      <c r="C13">
        <v>70.219124122573902</v>
      </c>
      <c r="D13">
        <v>29.429991133444101</v>
      </c>
      <c r="E13">
        <v>70.183306256064597</v>
      </c>
      <c r="F13">
        <v>22.0736525863745</v>
      </c>
      <c r="G13">
        <v>70.145024052357797</v>
      </c>
      <c r="H13">
        <v>14.211183985058099</v>
      </c>
    </row>
    <row r="14" spans="1:12" x14ac:dyDescent="0.25">
      <c r="A14">
        <v>54.165600730067901</v>
      </c>
      <c r="B14">
        <v>52.043673534863402</v>
      </c>
      <c r="C14">
        <v>75.796221931717398</v>
      </c>
      <c r="D14">
        <v>30.5686045309759</v>
      </c>
      <c r="E14">
        <v>75.759825158409598</v>
      </c>
      <c r="F14">
        <v>23.093369053059501</v>
      </c>
      <c r="G14">
        <v>75.719046751075894</v>
      </c>
      <c r="H14">
        <v>14.7182256123121</v>
      </c>
    </row>
    <row r="15" spans="1:12" x14ac:dyDescent="0.25">
      <c r="A15">
        <v>58.583949603373298</v>
      </c>
      <c r="B15">
        <v>54.1152425926524</v>
      </c>
      <c r="C15">
        <v>81.004720753393897</v>
      </c>
      <c r="D15">
        <v>31.451767361175499</v>
      </c>
      <c r="E15">
        <v>80.967840672575406</v>
      </c>
      <c r="F15">
        <v>23.877269307965001</v>
      </c>
      <c r="G15">
        <v>80.925394588776101</v>
      </c>
      <c r="H15">
        <v>15.1596154425765</v>
      </c>
    </row>
    <row r="16" spans="1:12" x14ac:dyDescent="0.25">
      <c r="A16">
        <v>63.491780993257301</v>
      </c>
      <c r="B16">
        <v>56.120181328754697</v>
      </c>
      <c r="C16">
        <v>86.397072938793997</v>
      </c>
      <c r="D16">
        <v>32.371028482462101</v>
      </c>
      <c r="E16">
        <v>86.359343086528</v>
      </c>
      <c r="F16">
        <v>24.6220028243389</v>
      </c>
      <c r="G16">
        <v>86.3154948798405</v>
      </c>
      <c r="H16">
        <v>15.616378410844399</v>
      </c>
    </row>
    <row r="17" spans="1:8" x14ac:dyDescent="0.25">
      <c r="A17">
        <v>68.887872173026196</v>
      </c>
      <c r="B17">
        <v>57.807363911656999</v>
      </c>
      <c r="C17">
        <v>91.789510101338905</v>
      </c>
      <c r="D17">
        <v>33.3077423642399</v>
      </c>
      <c r="E17">
        <v>91.750930477625403</v>
      </c>
      <c r="F17">
        <v>25.3841891012041</v>
      </c>
      <c r="G17">
        <v>91.7054677051878</v>
      </c>
      <c r="H17">
        <v>16.0469622383755</v>
      </c>
    </row>
    <row r="18" spans="1:8" x14ac:dyDescent="0.25">
      <c r="A18">
        <v>73.915975138555893</v>
      </c>
      <c r="B18">
        <v>59.364537643258203</v>
      </c>
      <c r="C18">
        <v>96.936694726440194</v>
      </c>
      <c r="D18">
        <v>34.172763964571999</v>
      </c>
      <c r="E18">
        <v>96.897388548139205</v>
      </c>
      <c r="F18">
        <v>26.0999895993358</v>
      </c>
      <c r="G18">
        <v>96.850604381100894</v>
      </c>
      <c r="H18">
        <v>16.491372310867899</v>
      </c>
    </row>
    <row r="19" spans="1:8" x14ac:dyDescent="0.25">
      <c r="A19">
        <v>79.680012043991397</v>
      </c>
      <c r="B19">
        <v>61.173002697216099</v>
      </c>
      <c r="C19">
        <v>103.554638279614</v>
      </c>
      <c r="D19">
        <v>35.312609685206397</v>
      </c>
      <c r="E19">
        <v>103.51431662443299</v>
      </c>
      <c r="F19">
        <v>27.031274832099601</v>
      </c>
      <c r="G19">
        <v>103.465624720495</v>
      </c>
      <c r="H19">
        <v>17.030843070602799</v>
      </c>
    </row>
    <row r="20" spans="1:8" x14ac:dyDescent="0.25">
      <c r="A20">
        <v>85.076145712332604</v>
      </c>
      <c r="B20">
        <v>62.868911660364098</v>
      </c>
      <c r="C20">
        <v>108.946947976442</v>
      </c>
      <c r="D20">
        <v>36.223144426247401</v>
      </c>
      <c r="E20">
        <v>108.90586152695801</v>
      </c>
      <c r="F20">
        <v>27.784734728719101</v>
      </c>
      <c r="G20">
        <v>108.855979942994</v>
      </c>
      <c r="H20">
        <v>17.539964320344499</v>
      </c>
    </row>
    <row r="21" spans="1:8" x14ac:dyDescent="0.25">
      <c r="A21">
        <v>90.472151914956598</v>
      </c>
      <c r="B21">
        <v>64.538641482775205</v>
      </c>
      <c r="C21">
        <v>114.339385138987</v>
      </c>
      <c r="D21">
        <v>37.1598583080252</v>
      </c>
      <c r="E21">
        <v>114.29732145233901</v>
      </c>
      <c r="F21">
        <v>28.520741864847299</v>
      </c>
      <c r="G21">
        <v>114.24633516549299</v>
      </c>
      <c r="H21">
        <v>18.049085570086302</v>
      </c>
    </row>
    <row r="22" spans="1:8" x14ac:dyDescent="0.25">
      <c r="A22">
        <v>95.867818209001697</v>
      </c>
      <c r="B22">
        <v>66.138560263221194</v>
      </c>
      <c r="C22">
        <v>119.731142484373</v>
      </c>
      <c r="D22">
        <v>37.956950105872899</v>
      </c>
      <c r="E22">
        <v>119.68780414055399</v>
      </c>
      <c r="F22">
        <v>29.056042255325998</v>
      </c>
      <c r="G22">
        <v>119.636690387991</v>
      </c>
      <c r="H22">
        <v>18.558206819828001</v>
      </c>
    </row>
    <row r="23" spans="1:8" x14ac:dyDescent="0.25">
      <c r="A23">
        <v>101.63121247478</v>
      </c>
      <c r="B23">
        <v>67.815038815963902</v>
      </c>
      <c r="C23">
        <v>124.754438930154</v>
      </c>
      <c r="D23">
        <v>38.526952072186702</v>
      </c>
      <c r="E23">
        <v>124.71056416810799</v>
      </c>
      <c r="F23">
        <v>29.515873671038602</v>
      </c>
      <c r="G23">
        <v>124.65956194804799</v>
      </c>
      <c r="H23">
        <v>19.040944983685499</v>
      </c>
    </row>
    <row r="24" spans="1:8" x14ac:dyDescent="0.25">
      <c r="A24">
        <v>106.511932142681</v>
      </c>
      <c r="B24">
        <v>69.281594774457702</v>
      </c>
      <c r="C24">
        <v>130.512830166535</v>
      </c>
      <c r="D24">
        <v>39.175899351005903</v>
      </c>
      <c r="E24">
        <v>130.46804721125599</v>
      </c>
      <c r="F24">
        <v>29.978294572107501</v>
      </c>
      <c r="G24">
        <v>130.41735834441599</v>
      </c>
      <c r="H24">
        <v>19.567722939065899</v>
      </c>
    </row>
    <row r="25" spans="1:8" x14ac:dyDescent="0.25">
      <c r="A25">
        <v>112.054774602564</v>
      </c>
      <c r="B25">
        <v>70.929590224313699</v>
      </c>
      <c r="C25">
        <v>135.48334973563399</v>
      </c>
      <c r="D25">
        <v>39.684787520579199</v>
      </c>
      <c r="E25">
        <v>136.51201830540401</v>
      </c>
      <c r="F25">
        <v>30.598312540778199</v>
      </c>
      <c r="G25">
        <v>133.84673848624701</v>
      </c>
      <c r="H25">
        <v>19.717974891283902</v>
      </c>
    </row>
    <row r="26" spans="1:8" x14ac:dyDescent="0.25">
      <c r="A26">
        <v>117.450313430892</v>
      </c>
      <c r="B26">
        <v>72.503329864022803</v>
      </c>
      <c r="C26">
        <v>141.29481526870401</v>
      </c>
      <c r="D26">
        <v>40.455933257858398</v>
      </c>
      <c r="E26">
        <v>141.248842633398</v>
      </c>
      <c r="F26">
        <v>31.013989832082199</v>
      </c>
      <c r="G26">
        <v>143.15700441860699</v>
      </c>
      <c r="H26">
        <v>20.5259684842826</v>
      </c>
    </row>
    <row r="27" spans="1:8" x14ac:dyDescent="0.25">
      <c r="A27">
        <v>122.84585225922</v>
      </c>
      <c r="B27">
        <v>74.077069503731906</v>
      </c>
      <c r="C27">
        <v>146.31786209412101</v>
      </c>
      <c r="D27">
        <v>40.974667740229101</v>
      </c>
      <c r="E27">
        <v>146.27147519523399</v>
      </c>
      <c r="F27">
        <v>31.447642107058002</v>
      </c>
      <c r="G27">
        <v>148.91330840387101</v>
      </c>
      <c r="H27">
        <v>20.746232333535101</v>
      </c>
    </row>
    <row r="28" spans="1:8" x14ac:dyDescent="0.25">
      <c r="A28">
        <v>129.710603431587</v>
      </c>
      <c r="B28">
        <v>75.607993022802404</v>
      </c>
      <c r="C28">
        <v>152.07637548514799</v>
      </c>
      <c r="D28">
        <v>41.648703362254601</v>
      </c>
      <c r="E28">
        <v>152.02917068124299</v>
      </c>
      <c r="F28">
        <v>31.953694909355001</v>
      </c>
      <c r="G28">
        <v>153.93533550355201</v>
      </c>
      <c r="H28">
        <v>21.055533690010598</v>
      </c>
    </row>
    <row r="29" spans="1:8" x14ac:dyDescent="0.25">
      <c r="A29">
        <v>135.10384787700599</v>
      </c>
      <c r="B29">
        <v>76.710508129247302</v>
      </c>
      <c r="C29">
        <v>157.467198081943</v>
      </c>
      <c r="D29">
        <v>42.2538147946984</v>
      </c>
      <c r="E29">
        <v>157.41931346088001</v>
      </c>
      <c r="F29">
        <v>32.419184257868601</v>
      </c>
      <c r="G29">
        <v>159.324671000313</v>
      </c>
      <c r="H29">
        <v>21.355221813857199</v>
      </c>
    </row>
    <row r="30" spans="1:8" x14ac:dyDescent="0.25">
      <c r="A30">
        <v>140.49726227671599</v>
      </c>
      <c r="B30">
        <v>77.847928756674705</v>
      </c>
      <c r="C30">
        <v>162.85806316731001</v>
      </c>
      <c r="D30">
        <v>42.867652607387697</v>
      </c>
      <c r="E30">
        <v>162.80907384336601</v>
      </c>
      <c r="F30">
        <v>32.8061361841715</v>
      </c>
      <c r="G30">
        <v>164.71404898564799</v>
      </c>
      <c r="H30">
        <v>21.663636317949301</v>
      </c>
    </row>
    <row r="31" spans="1:8" x14ac:dyDescent="0.25">
      <c r="A31">
        <v>145.155151689028</v>
      </c>
      <c r="B31">
        <v>78.818049471609598</v>
      </c>
      <c r="C31">
        <v>168.24880078696</v>
      </c>
      <c r="D31">
        <v>43.455311279340201</v>
      </c>
      <c r="E31">
        <v>168.19874924870601</v>
      </c>
      <c r="F31">
        <v>33.175635349983096</v>
      </c>
      <c r="G31">
        <v>170.103554436699</v>
      </c>
      <c r="H31">
        <v>21.9982299627783</v>
      </c>
    </row>
    <row r="32" spans="1:8" x14ac:dyDescent="0.25">
      <c r="A32">
        <v>151.55632952217701</v>
      </c>
      <c r="B32">
        <v>80.148130624940904</v>
      </c>
      <c r="C32">
        <v>173.639044476956</v>
      </c>
      <c r="D32">
        <v>43.941525780937098</v>
      </c>
      <c r="E32">
        <v>173.58845120940501</v>
      </c>
      <c r="F32">
        <v>33.550588503448203</v>
      </c>
      <c r="G32">
        <v>176.96290956037399</v>
      </c>
      <c r="H32">
        <v>22.420903190653299</v>
      </c>
    </row>
    <row r="33" spans="1:8" x14ac:dyDescent="0.25">
      <c r="A33">
        <v>156.67729303298199</v>
      </c>
      <c r="B33">
        <v>81.216558737728704</v>
      </c>
      <c r="C33">
        <v>179.02917132337799</v>
      </c>
      <c r="D33">
        <v>44.403742736858597</v>
      </c>
      <c r="E33">
        <v>178.97814254796</v>
      </c>
      <c r="F33">
        <v>33.923360061851902</v>
      </c>
      <c r="G33">
        <v>182.35241501142499</v>
      </c>
      <c r="H33">
        <v>22.755496835482301</v>
      </c>
    </row>
    <row r="34" spans="1:8" x14ac:dyDescent="0.25">
      <c r="A34">
        <v>162.070282546968</v>
      </c>
      <c r="B34">
        <v>82.266715562699801</v>
      </c>
      <c r="C34">
        <v>184.41935659158801</v>
      </c>
      <c r="D34">
        <v>44.877958465617802</v>
      </c>
      <c r="E34">
        <v>184.367817953301</v>
      </c>
      <c r="F34">
        <v>34.292859227663499</v>
      </c>
      <c r="G34">
        <v>187.74183548533199</v>
      </c>
      <c r="H34">
        <v>23.0726377198202</v>
      </c>
    </row>
    <row r="35" spans="1:8" x14ac:dyDescent="0.25">
      <c r="A35">
        <v>167.463187083809</v>
      </c>
      <c r="B35">
        <v>83.299419627179603</v>
      </c>
      <c r="C35">
        <v>189.80941439407999</v>
      </c>
      <c r="D35">
        <v>45.325995053640099</v>
      </c>
      <c r="E35">
        <v>189.757493358641</v>
      </c>
      <c r="F35">
        <v>34.662358393475103</v>
      </c>
      <c r="G35">
        <v>193.131340936383</v>
      </c>
      <c r="H35">
        <v>23.407231364649199</v>
      </c>
    </row>
    <row r="36" spans="1:8" x14ac:dyDescent="0.25">
      <c r="A36">
        <v>172.48842738177501</v>
      </c>
      <c r="B36">
        <v>84.268653489731193</v>
      </c>
      <c r="C36">
        <v>195.199642150861</v>
      </c>
      <c r="D36">
        <v>45.808937162644902</v>
      </c>
      <c r="E36">
        <v>195.147211252555</v>
      </c>
      <c r="F36">
        <v>35.040583939532297</v>
      </c>
      <c r="G36">
        <v>198.521000408509</v>
      </c>
      <c r="H36">
        <v>23.773458137868701</v>
      </c>
    </row>
    <row r="37" spans="1:8" x14ac:dyDescent="0.25">
      <c r="A37">
        <v>178.24895366891801</v>
      </c>
      <c r="B37">
        <v>85.356101375893601</v>
      </c>
      <c r="C37">
        <v>202.05980455741101</v>
      </c>
      <c r="D37">
        <v>46.397411615186897</v>
      </c>
      <c r="E37">
        <v>202.00677881909201</v>
      </c>
      <c r="F37">
        <v>35.506889068635402</v>
      </c>
      <c r="G37">
        <v>203.91035183848501</v>
      </c>
      <c r="H37">
        <v>24.0764186543073</v>
      </c>
    </row>
    <row r="38" spans="1:8" x14ac:dyDescent="0.25">
      <c r="A38">
        <v>183.64198567147599</v>
      </c>
      <c r="B38">
        <v>86.414984581110303</v>
      </c>
      <c r="C38">
        <v>207.449904848476</v>
      </c>
      <c r="D38">
        <v>46.854174583454899</v>
      </c>
      <c r="E38">
        <v>207.39645422443201</v>
      </c>
      <c r="F38">
        <v>35.876388234446999</v>
      </c>
      <c r="G38">
        <v>209.299687335247</v>
      </c>
      <c r="H38">
        <v>24.3761067781539</v>
      </c>
    </row>
    <row r="39" spans="1:8" x14ac:dyDescent="0.25">
      <c r="A39">
        <v>189.03480523117301</v>
      </c>
      <c r="B39">
        <v>87.430235885098796</v>
      </c>
      <c r="C39">
        <v>212.840132605257</v>
      </c>
      <c r="D39">
        <v>47.337116692459702</v>
      </c>
      <c r="E39">
        <v>212.786129629773</v>
      </c>
      <c r="F39">
        <v>36.245887400258603</v>
      </c>
      <c r="G39">
        <v>214.68898034343599</v>
      </c>
      <c r="H39">
        <v>24.6670685217548</v>
      </c>
    </row>
    <row r="40" spans="1:8" x14ac:dyDescent="0.25">
      <c r="A40">
        <v>194.42775225658599</v>
      </c>
      <c r="B40">
        <v>88.471666329824203</v>
      </c>
      <c r="C40">
        <v>218.23036036203899</v>
      </c>
      <c r="D40">
        <v>47.820058801464597</v>
      </c>
      <c r="E40">
        <v>218.17589001225801</v>
      </c>
      <c r="F40">
        <v>36.632839326561502</v>
      </c>
      <c r="G40">
        <v>220.07823086305299</v>
      </c>
      <c r="H40">
        <v>24.949303885110002</v>
      </c>
    </row>
    <row r="41" spans="1:8" x14ac:dyDescent="0.25">
      <c r="A41">
        <v>199.89019844680701</v>
      </c>
      <c r="B41">
        <v>89.415898812793102</v>
      </c>
      <c r="C41">
        <v>223.06942635801599</v>
      </c>
      <c r="D41">
        <v>48.2765158520114</v>
      </c>
      <c r="E41">
        <v>223.01427619107699</v>
      </c>
      <c r="F41">
        <v>36.949674293178198</v>
      </c>
      <c r="G41">
        <v>225.65114354781801</v>
      </c>
      <c r="H41">
        <v>25.2283688284469</v>
      </c>
    </row>
    <row r="42" spans="1:8" x14ac:dyDescent="0.25">
      <c r="A42">
        <v>206.19385767202601</v>
      </c>
      <c r="B42">
        <v>90.677240396440297</v>
      </c>
      <c r="C42">
        <v>229.010858364174</v>
      </c>
      <c r="D42">
        <v>48.794669399719901</v>
      </c>
      <c r="E42">
        <v>228.95524082294</v>
      </c>
      <c r="F42">
        <v>37.371837658184702</v>
      </c>
      <c r="G42">
        <v>230.85673190228701</v>
      </c>
      <c r="H42">
        <v>25.513774611820502</v>
      </c>
    </row>
    <row r="43" spans="1:8" x14ac:dyDescent="0.25">
      <c r="A43">
        <v>211.58620985742601</v>
      </c>
      <c r="B43">
        <v>91.596501517726907</v>
      </c>
      <c r="C43">
        <v>234.40125607524499</v>
      </c>
      <c r="D43">
        <v>49.312517029707301</v>
      </c>
      <c r="E43">
        <v>234.34491622828099</v>
      </c>
      <c r="F43">
        <v>37.741336823996299</v>
      </c>
      <c r="G43">
        <v>236.24589744475901</v>
      </c>
      <c r="H43">
        <v>25.778557214684501</v>
      </c>
    </row>
    <row r="44" spans="1:8" x14ac:dyDescent="0.25">
      <c r="A44">
        <v>216.97890195140499</v>
      </c>
      <c r="B44">
        <v>92.585573680978499</v>
      </c>
      <c r="C44">
        <v>239.79152632059899</v>
      </c>
      <c r="D44">
        <v>49.804185518957702</v>
      </c>
      <c r="E44">
        <v>239.73459163362099</v>
      </c>
      <c r="F44">
        <v>38.110835989807903</v>
      </c>
      <c r="G44">
        <v>241.635275430094</v>
      </c>
      <c r="H44">
        <v>26.086971718776699</v>
      </c>
    </row>
    <row r="45" spans="1:8" x14ac:dyDescent="0.25">
      <c r="A45">
        <v>222.12640524079899</v>
      </c>
      <c r="B45">
        <v>93.516043133152806</v>
      </c>
      <c r="C45">
        <v>245.18137168022901</v>
      </c>
      <c r="D45">
        <v>50.208590205751896</v>
      </c>
      <c r="E45">
        <v>245.124352016107</v>
      </c>
      <c r="F45">
        <v>38.497787916110802</v>
      </c>
      <c r="G45">
        <v>246.53452412835901</v>
      </c>
      <c r="H45">
        <v>26.329181645260899</v>
      </c>
    </row>
    <row r="46" spans="1:8" x14ac:dyDescent="0.25">
      <c r="A46">
        <v>228.74466745826601</v>
      </c>
      <c r="B46">
        <v>94.721336705629497</v>
      </c>
      <c r="C46">
        <v>251.12356848069101</v>
      </c>
      <c r="D46">
        <v>50.883818597881799</v>
      </c>
      <c r="E46">
        <v>250.78622809986999</v>
      </c>
      <c r="F46">
        <v>38.884890912893198</v>
      </c>
      <c r="G46">
        <v>252.41373398075501</v>
      </c>
      <c r="H46">
        <v>26.642716065241601</v>
      </c>
    </row>
    <row r="47" spans="1:8" x14ac:dyDescent="0.25">
      <c r="A47">
        <v>234.13731706367301</v>
      </c>
      <c r="B47">
        <v>95.701682488635498</v>
      </c>
      <c r="C47">
        <v>255.962337056661</v>
      </c>
      <c r="D47">
        <v>51.279190986709203</v>
      </c>
      <c r="E47">
        <v>255.90370282678799</v>
      </c>
      <c r="F47">
        <v>39.236786247734003</v>
      </c>
      <c r="G47">
        <v>257.80277205751003</v>
      </c>
      <c r="H47">
        <v>26.8813195273686</v>
      </c>
    </row>
    <row r="48" spans="1:8" x14ac:dyDescent="0.25">
      <c r="A48">
        <v>239.52996666908001</v>
      </c>
      <c r="B48">
        <v>96.682028271641499</v>
      </c>
      <c r="C48">
        <v>261.35264979058701</v>
      </c>
      <c r="D48">
        <v>51.779585856205301</v>
      </c>
      <c r="E48">
        <v>261.292953346405</v>
      </c>
      <c r="F48">
        <v>39.519021611089201</v>
      </c>
      <c r="G48">
        <v>263.19168266854803</v>
      </c>
      <c r="H48">
        <v>27.093743848758798</v>
      </c>
    </row>
    <row r="49" spans="1:8" x14ac:dyDescent="0.25">
      <c r="A49">
        <v>244.92261627448599</v>
      </c>
      <c r="B49">
        <v>97.662374054647501</v>
      </c>
      <c r="C49">
        <v>266.74287754736901</v>
      </c>
      <c r="D49">
        <v>52.262527965210097</v>
      </c>
      <c r="E49">
        <v>271.58309073480001</v>
      </c>
      <c r="F49">
        <v>40.379917339288099</v>
      </c>
      <c r="G49">
        <v>268.58059327958603</v>
      </c>
      <c r="H49">
        <v>27.306168170149</v>
      </c>
    </row>
    <row r="50" spans="1:8" x14ac:dyDescent="0.25">
      <c r="A50">
        <v>249.57983118071201</v>
      </c>
      <c r="B50">
        <v>98.493963483182995</v>
      </c>
      <c r="C50">
        <v>271.88812044471302</v>
      </c>
      <c r="D50">
        <v>52.728753988316697</v>
      </c>
      <c r="E50">
        <v>278.442190927041</v>
      </c>
      <c r="F50">
        <v>40.750232285689201</v>
      </c>
      <c r="G50">
        <v>273.602052094611</v>
      </c>
      <c r="H50">
        <v>27.498754190839101</v>
      </c>
    </row>
    <row r="51" spans="1:8" x14ac:dyDescent="0.25">
      <c r="C51">
        <v>278.50307705124902</v>
      </c>
      <c r="D51">
        <v>53.255135177683101</v>
      </c>
      <c r="E51">
        <v>283.83186633238103</v>
      </c>
      <c r="F51">
        <v>41.119731451500897</v>
      </c>
      <c r="G51">
        <v>279.358499478807</v>
      </c>
      <c r="H51">
        <v>27.7484695734206</v>
      </c>
    </row>
    <row r="52" spans="1:8" x14ac:dyDescent="0.25">
      <c r="C52">
        <v>283.89296489945201</v>
      </c>
      <c r="D52">
        <v>53.668266244722801</v>
      </c>
      <c r="E52">
        <v>289.22149924914999</v>
      </c>
      <c r="F52">
        <v>41.480504237066803</v>
      </c>
      <c r="G52">
        <v>284.74745257841698</v>
      </c>
      <c r="H52">
        <v>27.969620275056499</v>
      </c>
    </row>
    <row r="53" spans="1:8" x14ac:dyDescent="0.25">
      <c r="C53">
        <v>289.28285274765398</v>
      </c>
      <c r="D53">
        <v>54.081397311762601</v>
      </c>
      <c r="E53">
        <v>294.61121714306302</v>
      </c>
      <c r="F53">
        <v>41.858729783124097</v>
      </c>
      <c r="G53">
        <v>290.13640567802798</v>
      </c>
      <c r="H53">
        <v>28.190770976692299</v>
      </c>
    </row>
    <row r="54" spans="1:8" x14ac:dyDescent="0.25">
      <c r="C54">
        <v>294.672783084429</v>
      </c>
      <c r="D54">
        <v>54.503254759047998</v>
      </c>
      <c r="E54">
        <v>299.81713478396802</v>
      </c>
      <c r="F54">
        <v>42.211765013401397</v>
      </c>
      <c r="G54">
        <v>295.52531628906598</v>
      </c>
      <c r="H54">
        <v>28.403195298082402</v>
      </c>
    </row>
    <row r="55" spans="1:8" x14ac:dyDescent="0.25">
      <c r="C55">
        <v>299.87900345641202</v>
      </c>
      <c r="D55">
        <v>54.918465448575503</v>
      </c>
      <c r="E55">
        <v>305.39039799945499</v>
      </c>
      <c r="F55">
        <v>42.5628225937647</v>
      </c>
      <c r="G55">
        <v>301.09803246418301</v>
      </c>
      <c r="H55">
        <v>28.641900732783199</v>
      </c>
    </row>
    <row r="56" spans="1:8" x14ac:dyDescent="0.25">
      <c r="C56">
        <v>305.45264375797899</v>
      </c>
      <c r="D56">
        <v>55.3469696536188</v>
      </c>
      <c r="E56">
        <v>310.77998842764998</v>
      </c>
      <c r="F56">
        <v>42.914868999085002</v>
      </c>
      <c r="G56">
        <v>306.303222488286</v>
      </c>
      <c r="H56">
        <v>28.845496701354101</v>
      </c>
    </row>
    <row r="57" spans="1:8" x14ac:dyDescent="0.25">
      <c r="C57">
        <v>310.84248911760898</v>
      </c>
      <c r="D57">
        <v>55.751374340413001</v>
      </c>
      <c r="E57">
        <v>316.16923894726699</v>
      </c>
      <c r="F57">
        <v>43.197104362440299</v>
      </c>
      <c r="G57">
        <v>311.692175587897</v>
      </c>
      <c r="H57">
        <v>29.066647402989901</v>
      </c>
    </row>
    <row r="58" spans="1:8" x14ac:dyDescent="0.25">
      <c r="C58">
        <v>316.23288682868002</v>
      </c>
      <c r="D58">
        <v>56.269221970400302</v>
      </c>
      <c r="E58">
        <v>321.55827702402303</v>
      </c>
      <c r="F58">
        <v>43.435707824567402</v>
      </c>
      <c r="G58">
        <v>317.08117117607998</v>
      </c>
      <c r="H58">
        <v>29.296524484871401</v>
      </c>
    </row>
    <row r="59" spans="1:8" x14ac:dyDescent="0.25">
      <c r="C59">
        <v>321.62319956260598</v>
      </c>
      <c r="D59">
        <v>56.7696168398965</v>
      </c>
      <c r="E59">
        <v>327.92710157966701</v>
      </c>
      <c r="F59">
        <v>43.709760661403401</v>
      </c>
      <c r="G59">
        <v>321.98026408291298</v>
      </c>
      <c r="H59">
        <v>29.506737683788199</v>
      </c>
    </row>
    <row r="60" spans="1:8" x14ac:dyDescent="0.25">
      <c r="C60">
        <v>327.99359619542901</v>
      </c>
      <c r="D60">
        <v>57.3665457458209</v>
      </c>
      <c r="E60">
        <v>333.31626712214</v>
      </c>
      <c r="F60">
        <v>43.974543264267297</v>
      </c>
      <c r="G60">
        <v>327.85916235244503</v>
      </c>
      <c r="H60">
        <v>29.7562786486343</v>
      </c>
    </row>
    <row r="61" spans="1:8" x14ac:dyDescent="0.25">
      <c r="C61">
        <v>333.38390892935502</v>
      </c>
      <c r="D61">
        <v>57.866940615316999</v>
      </c>
      <c r="E61">
        <v>338.70526271032202</v>
      </c>
      <c r="F61">
        <v>44.204420346148801</v>
      </c>
      <c r="G61">
        <v>333.24786052062097</v>
      </c>
      <c r="H61">
        <v>29.925071068796299</v>
      </c>
    </row>
    <row r="62" spans="1:8" x14ac:dyDescent="0.25">
      <c r="C62">
        <v>338.774306640426</v>
      </c>
      <c r="D62">
        <v>58.384788245304399</v>
      </c>
      <c r="E62">
        <v>344.094258298505</v>
      </c>
      <c r="F62">
        <v>44.434297428030298</v>
      </c>
      <c r="G62">
        <v>338.63660117736998</v>
      </c>
      <c r="H62">
        <v>30.1025898692039</v>
      </c>
    </row>
    <row r="63" spans="1:8" x14ac:dyDescent="0.25">
      <c r="C63">
        <v>344.16461937435201</v>
      </c>
      <c r="D63">
        <v>58.885183114800498</v>
      </c>
      <c r="E63">
        <v>349.48324857561602</v>
      </c>
      <c r="F63">
        <v>44.663083712381002</v>
      </c>
      <c r="G63">
        <v>344.024916948395</v>
      </c>
      <c r="H63">
        <v>30.192844867155198</v>
      </c>
    </row>
    <row r="64" spans="1:8" x14ac:dyDescent="0.25">
      <c r="C64">
        <v>349.55481526470498</v>
      </c>
      <c r="D64">
        <v>59.361580438621097</v>
      </c>
      <c r="E64">
        <v>354.87246191773198</v>
      </c>
      <c r="F64">
        <v>44.937683493021296</v>
      </c>
      <c r="G64">
        <v>347.208713141918</v>
      </c>
      <c r="H64">
        <v>30.203338772011499</v>
      </c>
    </row>
    <row r="65" spans="3:8" x14ac:dyDescent="0.25">
      <c r="C65">
        <v>354.52499037287703</v>
      </c>
      <c r="D65">
        <v>59.799722596917299</v>
      </c>
      <c r="E65">
        <v>360.26145750591502</v>
      </c>
      <c r="F65">
        <v>45.167560574902801</v>
      </c>
      <c r="G65">
        <v>362.151604136439</v>
      </c>
      <c r="H65">
        <v>30.979554002954298</v>
      </c>
    </row>
    <row r="66" spans="3:8" x14ac:dyDescent="0.25">
      <c r="C66">
        <v>360.335982461855</v>
      </c>
      <c r="D66">
        <v>60.473631525745198</v>
      </c>
      <c r="E66">
        <v>365.65049558266998</v>
      </c>
      <c r="F66">
        <v>45.406164037029903</v>
      </c>
      <c r="G66">
        <v>367.53966497603</v>
      </c>
      <c r="H66">
        <v>31.0174507194318</v>
      </c>
    </row>
    <row r="67" spans="3:8" x14ac:dyDescent="0.25">
      <c r="C67">
        <v>365.72608275291901</v>
      </c>
      <c r="D67">
        <v>60.9303944940131</v>
      </c>
      <c r="E67">
        <v>371.03953365942499</v>
      </c>
      <c r="F67">
        <v>45.644767499156998</v>
      </c>
      <c r="G67">
        <v>372.927853281338</v>
      </c>
      <c r="H67">
        <v>31.081526576646201</v>
      </c>
    </row>
    <row r="68" spans="3:8" x14ac:dyDescent="0.25">
      <c r="C68">
        <v>371.11656544113498</v>
      </c>
      <c r="D68">
        <v>61.465694884491803</v>
      </c>
      <c r="E68">
        <v>376.24498392603402</v>
      </c>
      <c r="F68">
        <v>45.901812546732302</v>
      </c>
      <c r="G68">
        <v>378.86753794495701</v>
      </c>
      <c r="H68">
        <v>31.240807736752899</v>
      </c>
    </row>
    <row r="69" spans="3:8" x14ac:dyDescent="0.25">
      <c r="C69">
        <v>376.32321069884199</v>
      </c>
      <c r="D69">
        <v>61.968169376475601</v>
      </c>
      <c r="E69">
        <v>381.81765230150802</v>
      </c>
      <c r="F69">
        <v>46.130700803656801</v>
      </c>
      <c r="G69">
        <v>383.70469726624901</v>
      </c>
      <c r="H69">
        <v>31.305668473776901</v>
      </c>
    </row>
    <row r="70" spans="3:8" x14ac:dyDescent="0.25">
      <c r="C70">
        <v>381.89744584042199</v>
      </c>
      <c r="D70">
        <v>62.5188429049578</v>
      </c>
      <c r="E70">
        <v>387.206647889691</v>
      </c>
      <c r="F70">
        <v>46.360577885538198</v>
      </c>
      <c r="G70">
        <v>389.09339543442502</v>
      </c>
      <c r="H70">
        <v>31.474460893939</v>
      </c>
    </row>
    <row r="71" spans="3:8" x14ac:dyDescent="0.25">
      <c r="C71">
        <v>387.28792852863802</v>
      </c>
      <c r="D71">
        <v>63.054143295436397</v>
      </c>
      <c r="E71">
        <v>392.59564347787398</v>
      </c>
      <c r="F71">
        <v>46.590454967419703</v>
      </c>
      <c r="G71">
        <v>394.481838671167</v>
      </c>
      <c r="H71">
        <v>31.590895032627198</v>
      </c>
    </row>
    <row r="72" spans="3:8" x14ac:dyDescent="0.25">
      <c r="C72">
        <v>392.67841121685302</v>
      </c>
      <c r="D72">
        <v>63.5894436859151</v>
      </c>
      <c r="E72">
        <v>397.98472404320103</v>
      </c>
      <c r="F72">
        <v>46.837784809792403</v>
      </c>
      <c r="G72">
        <v>399.13539956016899</v>
      </c>
      <c r="H72">
        <v>31.6720157600381</v>
      </c>
    </row>
    <row r="73" spans="3:8" x14ac:dyDescent="0.25">
      <c r="C73">
        <v>398.06885141649701</v>
      </c>
      <c r="D73">
        <v>64.116017696148106</v>
      </c>
      <c r="E73">
        <v>400.92450836559402</v>
      </c>
      <c r="F73">
        <v>47.031396736375399</v>
      </c>
    </row>
    <row r="74" spans="3:8" x14ac:dyDescent="0.25">
      <c r="C74">
        <v>401.00910311318597</v>
      </c>
      <c r="D74">
        <v>64.405619805433105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683C-3747-432A-AFBA-3E37B10A8046}">
  <sheetPr codeName="Sheet2"/>
  <dimension ref="A1:Q237"/>
  <sheetViews>
    <sheetView workbookViewId="0">
      <selection activeCell="K2" sqref="K2"/>
    </sheetView>
  </sheetViews>
  <sheetFormatPr defaultRowHeight="15" x14ac:dyDescent="0.25"/>
  <cols>
    <col min="1" max="1" width="14.140625" bestFit="1" customWidth="1"/>
    <col min="3" max="3" width="12" bestFit="1" customWidth="1"/>
    <col min="5" max="5" width="12" bestFit="1" customWidth="1"/>
    <col min="7" max="7" width="12" bestFit="1" customWidth="1"/>
    <col min="10" max="10" width="14.140625" bestFit="1" customWidth="1"/>
    <col min="11" max="11" width="12.7109375" bestFit="1" customWidth="1"/>
  </cols>
  <sheetData>
    <row r="1" spans="1:17" x14ac:dyDescent="0.25">
      <c r="A1" s="8" t="s">
        <v>0</v>
      </c>
      <c r="B1" s="8"/>
      <c r="C1" s="8" t="s">
        <v>1</v>
      </c>
      <c r="D1" s="8"/>
      <c r="E1" s="8" t="s">
        <v>2</v>
      </c>
      <c r="F1" s="8"/>
      <c r="G1" s="8" t="s">
        <v>3</v>
      </c>
      <c r="H1" s="8"/>
      <c r="K1" t="s">
        <v>6</v>
      </c>
      <c r="L1" t="s">
        <v>7</v>
      </c>
      <c r="M1" t="s">
        <v>8</v>
      </c>
      <c r="N1" t="s">
        <v>9</v>
      </c>
      <c r="O1" t="s">
        <v>10</v>
      </c>
      <c r="P1" t="s">
        <v>11</v>
      </c>
      <c r="Q1" t="s">
        <v>12</v>
      </c>
    </row>
    <row r="2" spans="1:17" x14ac:dyDescent="0.25">
      <c r="A2" t="s">
        <v>4</v>
      </c>
      <c r="B2" t="s">
        <v>5</v>
      </c>
      <c r="C2" t="s">
        <v>4</v>
      </c>
      <c r="D2" t="s">
        <v>5</v>
      </c>
      <c r="E2" t="s">
        <v>4</v>
      </c>
      <c r="F2" t="s">
        <v>5</v>
      </c>
      <c r="G2" t="s">
        <v>4</v>
      </c>
      <c r="H2" t="s">
        <v>5</v>
      </c>
      <c r="J2" t="s">
        <v>0</v>
      </c>
      <c r="K2" cm="1">
        <f t="array" ref="K2:Q2">LINEST(B3:B137,A3:A137^{1,2,3,4,5,6})</f>
        <v>-1.5625863391855346E-12</v>
      </c>
      <c r="L2">
        <v>-1.5331500521840711E-10</v>
      </c>
      <c r="M2">
        <v>3.6708287200281783E-8</v>
      </c>
      <c r="N2">
        <v>-2.3322062605638632E-6</v>
      </c>
      <c r="O2">
        <v>5.8042242634840778E-5</v>
      </c>
      <c r="P2">
        <v>-4.8278634350561075E-4</v>
      </c>
      <c r="Q2">
        <v>0.92921350241003831</v>
      </c>
    </row>
    <row r="3" spans="1:17" x14ac:dyDescent="0.25">
      <c r="A3">
        <v>1.70735382760724E-2</v>
      </c>
      <c r="B3">
        <v>0.93026523053665899</v>
      </c>
      <c r="C3">
        <v>1.70735382760724E-2</v>
      </c>
      <c r="D3">
        <v>0.93101693121693097</v>
      </c>
      <c r="E3">
        <v>0.127925600619997</v>
      </c>
      <c r="F3">
        <v>0.86926293056905302</v>
      </c>
      <c r="G3">
        <v>0.440024110910188</v>
      </c>
      <c r="H3">
        <v>0.799534611420325</v>
      </c>
      <c r="J3" t="s">
        <v>1</v>
      </c>
      <c r="K3" cm="1">
        <f t="array" ref="K3:Q3">LINEST(D3:D237,C3:C237^{1,2,3,4,5,6})</f>
        <v>-5.278212195314511E-12</v>
      </c>
      <c r="L3">
        <v>-7.9234378511533036E-10</v>
      </c>
      <c r="M3">
        <v>2.1866158570519959E-7</v>
      </c>
      <c r="N3">
        <v>-1.4534170873941302E-5</v>
      </c>
      <c r="O3">
        <v>3.5859094904976737E-4</v>
      </c>
      <c r="P3">
        <v>-3.6818359706648407E-3</v>
      </c>
      <c r="Q3">
        <v>0.93602328506451349</v>
      </c>
    </row>
    <row r="4" spans="1:17" x14ac:dyDescent="0.25">
      <c r="A4">
        <v>0.38340867992767003</v>
      </c>
      <c r="B4">
        <v>0.92779297052154097</v>
      </c>
      <c r="C4">
        <v>0.61256637676167802</v>
      </c>
      <c r="D4">
        <v>0.92836171759709096</v>
      </c>
      <c r="E4">
        <v>0.75973477998794703</v>
      </c>
      <c r="F4">
        <v>0.869778382464096</v>
      </c>
      <c r="G4">
        <v>1.0261603375527399</v>
      </c>
      <c r="H4">
        <v>0.798951473922902</v>
      </c>
      <c r="J4" t="s">
        <v>2</v>
      </c>
      <c r="K4" cm="1">
        <f t="array" ref="K4:Q4">LINEST(F3:F122,E3:E122^{1,2,3,4,5,6})</f>
        <v>-1.246371847965819E-11</v>
      </c>
      <c r="L4">
        <v>2.2966301271168981E-9</v>
      </c>
      <c r="M4">
        <v>-1.7005328043629839E-7</v>
      </c>
      <c r="N4">
        <v>6.0644089414277635E-6</v>
      </c>
      <c r="O4">
        <v>-1.1626164896537406E-4</v>
      </c>
      <c r="P4">
        <v>8.637765112794409E-4</v>
      </c>
      <c r="Q4">
        <v>0.86866062072451566</v>
      </c>
    </row>
    <row r="5" spans="1:17" x14ac:dyDescent="0.25">
      <c r="A5">
        <v>0.91959011452682604</v>
      </c>
      <c r="B5">
        <v>0.92844444444444396</v>
      </c>
      <c r="C5">
        <v>1.18601567209162</v>
      </c>
      <c r="D5">
        <v>0.92844444444444396</v>
      </c>
      <c r="E5">
        <v>1.3458710066305</v>
      </c>
      <c r="F5">
        <v>0.869778382464096</v>
      </c>
      <c r="G5">
        <v>1.6122965641953</v>
      </c>
      <c r="H5">
        <v>0.79814526319233803</v>
      </c>
      <c r="J5" t="s">
        <v>3</v>
      </c>
      <c r="K5" cm="1">
        <f t="array" ref="K5:Q5">LINEST(H3:H149,G3:G149^{1,2,3,4,5,6})</f>
        <v>-2.4803587490194289E-12</v>
      </c>
      <c r="L5">
        <v>7.1327692723921369E-10</v>
      </c>
      <c r="M5">
        <v>-8.7472626160410357E-8</v>
      </c>
      <c r="N5">
        <v>3.7472677441988338E-6</v>
      </c>
      <c r="O5">
        <v>-9.6148227343779464E-5</v>
      </c>
      <c r="P5">
        <v>-2.5897791289214748E-4</v>
      </c>
      <c r="Q5">
        <v>0.79856954726786999</v>
      </c>
    </row>
    <row r="6" spans="1:17" x14ac:dyDescent="0.25">
      <c r="A6">
        <v>1.50572634116938</v>
      </c>
      <c r="B6">
        <v>0.92844444444444396</v>
      </c>
      <c r="C6">
        <v>1.77215189873417</v>
      </c>
      <c r="D6">
        <v>0.92844444444444396</v>
      </c>
      <c r="E6">
        <v>2.6779987944544899</v>
      </c>
      <c r="F6">
        <v>0.87031292517006797</v>
      </c>
      <c r="G6">
        <v>2.1984327908378498</v>
      </c>
      <c r="H6">
        <v>0.79714883856380403</v>
      </c>
    </row>
    <row r="7" spans="1:17" x14ac:dyDescent="0.25">
      <c r="A7">
        <v>2.0918625678119298</v>
      </c>
      <c r="B7">
        <v>0.92844444444444396</v>
      </c>
      <c r="C7">
        <v>2.3582881253767298</v>
      </c>
      <c r="D7">
        <v>0.92838370095512901</v>
      </c>
      <c r="E7">
        <v>3.2641350210970401</v>
      </c>
      <c r="F7">
        <v>0.87031292517006797</v>
      </c>
      <c r="G7">
        <v>2.8302419702058002</v>
      </c>
      <c r="H7">
        <v>0.79632785104971604</v>
      </c>
    </row>
    <row r="8" spans="1:17" x14ac:dyDescent="0.25">
      <c r="A8">
        <v>2.6779987944544899</v>
      </c>
      <c r="B8">
        <v>0.92831080876795102</v>
      </c>
      <c r="C8">
        <v>2.9444243520192899</v>
      </c>
      <c r="D8">
        <v>0.92831080876795102</v>
      </c>
      <c r="E8">
        <v>3.8502712477396002</v>
      </c>
      <c r="F8">
        <v>0.87031292517006797</v>
      </c>
      <c r="G8">
        <v>3.3338155515370702</v>
      </c>
      <c r="H8">
        <v>0.79585288845697</v>
      </c>
    </row>
    <row r="9" spans="1:17" x14ac:dyDescent="0.25">
      <c r="A9">
        <v>3.2641350210970401</v>
      </c>
      <c r="B9">
        <v>0.92831080876795102</v>
      </c>
      <c r="C9">
        <v>3.5305605786618401</v>
      </c>
      <c r="D9">
        <v>0.92831080876795102</v>
      </c>
      <c r="E9">
        <v>4.4364074743821602</v>
      </c>
      <c r="F9">
        <v>0.87031292517006797</v>
      </c>
      <c r="G9">
        <v>3.9568414707655202</v>
      </c>
      <c r="H9">
        <v>0.79571992029134797</v>
      </c>
    </row>
    <row r="10" spans="1:17" x14ac:dyDescent="0.25">
      <c r="A10">
        <v>3.8502712477396002</v>
      </c>
      <c r="B10">
        <v>0.92831080876795102</v>
      </c>
      <c r="C10">
        <v>4.1166968053044002</v>
      </c>
      <c r="D10">
        <v>0.92820147048718404</v>
      </c>
      <c r="E10">
        <v>4.8626883664858296</v>
      </c>
      <c r="F10">
        <v>0.87031292517006797</v>
      </c>
      <c r="G10">
        <v>4.5429776974080802</v>
      </c>
      <c r="H10">
        <v>0.79547694633408905</v>
      </c>
    </row>
    <row r="11" spans="1:17" x14ac:dyDescent="0.25">
      <c r="A11">
        <v>4.4364074743821602</v>
      </c>
      <c r="B11">
        <v>0.92831080876795102</v>
      </c>
      <c r="C11">
        <v>4.70283303194695</v>
      </c>
      <c r="D11">
        <v>0.92817717309145797</v>
      </c>
      <c r="E11">
        <v>6.0349608197709399</v>
      </c>
      <c r="F11">
        <v>0.87031292517006797</v>
      </c>
      <c r="G11">
        <v>5.12911392405063</v>
      </c>
      <c r="H11">
        <v>0.79525826977255498</v>
      </c>
    </row>
    <row r="12" spans="1:17" x14ac:dyDescent="0.25">
      <c r="A12">
        <v>5.02254370102471</v>
      </c>
      <c r="B12">
        <v>0.92831080876795102</v>
      </c>
      <c r="C12">
        <v>5.2889692585895096</v>
      </c>
      <c r="D12">
        <v>0.92814072699786898</v>
      </c>
      <c r="E12">
        <v>6.6210970464135004</v>
      </c>
      <c r="F12">
        <v>0.87031292517006797</v>
      </c>
      <c r="G12">
        <v>5.7152501506931896</v>
      </c>
      <c r="H12">
        <v>0.79486951144093998</v>
      </c>
    </row>
    <row r="13" spans="1:17" x14ac:dyDescent="0.25">
      <c r="A13">
        <v>5.6086799276672696</v>
      </c>
      <c r="B13">
        <v>0.92831080876795102</v>
      </c>
      <c r="C13">
        <v>5.8751054852320603</v>
      </c>
      <c r="D13">
        <v>0.92771552257266499</v>
      </c>
      <c r="E13">
        <v>7.2072332730560502</v>
      </c>
      <c r="F13">
        <v>0.87031292517006797</v>
      </c>
      <c r="G13">
        <v>6.3013863773357404</v>
      </c>
      <c r="H13">
        <v>0.79401910259053099</v>
      </c>
    </row>
    <row r="14" spans="1:17" x14ac:dyDescent="0.25">
      <c r="A14">
        <v>6.1948161543098204</v>
      </c>
      <c r="B14">
        <v>0.92831080876795102</v>
      </c>
      <c r="C14">
        <v>6.4612417118746199</v>
      </c>
      <c r="D14">
        <v>0.92722957465814604</v>
      </c>
      <c r="E14">
        <v>7.7933694996986098</v>
      </c>
      <c r="F14">
        <v>0.87031292517006797</v>
      </c>
      <c r="G14">
        <v>6.8875226039783</v>
      </c>
      <c r="H14">
        <v>0.79326588332302606</v>
      </c>
    </row>
    <row r="15" spans="1:17" x14ac:dyDescent="0.25">
      <c r="A15">
        <v>6.78095238095238</v>
      </c>
      <c r="B15">
        <v>0.92812857830000595</v>
      </c>
      <c r="C15">
        <v>7.0473779385171698</v>
      </c>
      <c r="D15">
        <v>0.92623338143338096</v>
      </c>
      <c r="E15">
        <v>8.2196503918022898</v>
      </c>
      <c r="F15">
        <v>0.87031292517006797</v>
      </c>
      <c r="G15">
        <v>7.4736588306208596</v>
      </c>
      <c r="H15">
        <v>0.79243977186834302</v>
      </c>
    </row>
    <row r="16" spans="1:17" x14ac:dyDescent="0.25">
      <c r="A16">
        <v>7.3670886075949404</v>
      </c>
      <c r="B16">
        <v>0.92790990173847299</v>
      </c>
      <c r="C16">
        <v>7.5878412124343404</v>
      </c>
      <c r="D16">
        <v>0.92638263686426903</v>
      </c>
      <c r="E16">
        <v>9.2320675105485197</v>
      </c>
      <c r="F16">
        <v>0.87028862777434202</v>
      </c>
      <c r="G16">
        <v>8.0597950572634094</v>
      </c>
      <c r="H16">
        <v>0.79166225520511202</v>
      </c>
    </row>
    <row r="17" spans="1:8" x14ac:dyDescent="0.25">
      <c r="A17">
        <v>7.9532248342374903</v>
      </c>
      <c r="B17">
        <v>0.92790990173847299</v>
      </c>
      <c r="C17">
        <v>8.2196503918022898</v>
      </c>
      <c r="D17">
        <v>0.92631842231842199</v>
      </c>
      <c r="E17">
        <v>9.8182037371910802</v>
      </c>
      <c r="F17">
        <v>0.87031292517006797</v>
      </c>
      <c r="G17">
        <v>8.6459312839059699</v>
      </c>
      <c r="H17">
        <v>0.79088473854188102</v>
      </c>
    </row>
    <row r="18" spans="1:8" x14ac:dyDescent="0.25">
      <c r="A18">
        <v>8.5393610608800508</v>
      </c>
      <c r="B18">
        <v>0.92790990173847299</v>
      </c>
      <c r="C18">
        <v>8.8057866184448397</v>
      </c>
      <c r="D18">
        <v>0.92554090565519098</v>
      </c>
      <c r="E18">
        <v>10.4043399638336</v>
      </c>
      <c r="F18">
        <v>0.87031292517006797</v>
      </c>
      <c r="G18">
        <v>9.2320675105485197</v>
      </c>
      <c r="H18">
        <v>0.79020441146155396</v>
      </c>
    </row>
    <row r="19" spans="1:8" x14ac:dyDescent="0.25">
      <c r="A19">
        <v>9.1254972875226006</v>
      </c>
      <c r="B19">
        <v>0.92790990173847299</v>
      </c>
      <c r="C19">
        <v>9.3919228450874002</v>
      </c>
      <c r="D19">
        <v>0.92483628117913796</v>
      </c>
      <c r="E19">
        <v>10.9904761904761</v>
      </c>
      <c r="F19">
        <v>0.87031292517006797</v>
      </c>
      <c r="G19">
        <v>9.8182037371910802</v>
      </c>
      <c r="H19">
        <v>0.78932970521541901</v>
      </c>
    </row>
    <row r="20" spans="1:8" x14ac:dyDescent="0.25">
      <c r="A20">
        <v>9.7116335141651593</v>
      </c>
      <c r="B20">
        <v>0.92790990173847299</v>
      </c>
      <c r="C20">
        <v>9.97805907172995</v>
      </c>
      <c r="D20">
        <v>0.92471479420050795</v>
      </c>
      <c r="E20">
        <v>11.496684749849299</v>
      </c>
      <c r="F20">
        <v>0.87031292517006797</v>
      </c>
      <c r="G20">
        <v>10.4043399638336</v>
      </c>
      <c r="H20">
        <v>0.78869797292654398</v>
      </c>
    </row>
    <row r="21" spans="1:8" x14ac:dyDescent="0.25">
      <c r="A21">
        <v>10.2977697408077</v>
      </c>
      <c r="B21">
        <v>0.92790990173847299</v>
      </c>
      <c r="C21">
        <v>10.5641952983725</v>
      </c>
      <c r="D21">
        <v>0.92456900982615198</v>
      </c>
      <c r="E21">
        <v>12.748884870403799</v>
      </c>
      <c r="F21">
        <v>0.869778382464096</v>
      </c>
      <c r="G21">
        <v>10.9904761904761</v>
      </c>
      <c r="H21">
        <v>0.78794475365903904</v>
      </c>
    </row>
    <row r="22" spans="1:8" x14ac:dyDescent="0.25">
      <c r="A22">
        <v>10.8839059674502</v>
      </c>
      <c r="B22">
        <v>0.92790990173847299</v>
      </c>
      <c r="C22">
        <v>11.150331525015</v>
      </c>
      <c r="D22">
        <v>0.92432603586889295</v>
      </c>
      <c r="E22">
        <v>13.3350210970464</v>
      </c>
      <c r="F22">
        <v>0.86936532673675504</v>
      </c>
      <c r="G22">
        <v>11.576612417118699</v>
      </c>
      <c r="H22">
        <v>0.786997155225726</v>
      </c>
    </row>
    <row r="23" spans="1:8" x14ac:dyDescent="0.25">
      <c r="A23">
        <v>11.4700421940928</v>
      </c>
      <c r="B23">
        <v>0.92790990173847299</v>
      </c>
      <c r="C23">
        <v>11.7733574442435</v>
      </c>
      <c r="D23">
        <v>0.92378775510204003</v>
      </c>
      <c r="E23">
        <v>13.921157323688901</v>
      </c>
      <c r="F23">
        <v>0.86924383975812503</v>
      </c>
      <c r="G23">
        <v>12.162748643761301</v>
      </c>
      <c r="H23">
        <v>0.78604955679241395</v>
      </c>
    </row>
    <row r="24" spans="1:8" x14ac:dyDescent="0.25">
      <c r="A24">
        <v>12.0561784207353</v>
      </c>
      <c r="B24">
        <v>0.92790990173847299</v>
      </c>
      <c r="C24">
        <v>12.3226039783001</v>
      </c>
      <c r="D24">
        <v>0.92363356009070197</v>
      </c>
      <c r="E24">
        <v>14.5072935503315</v>
      </c>
      <c r="F24">
        <v>0.86883078403078395</v>
      </c>
      <c r="G24">
        <v>12.748884870403799</v>
      </c>
      <c r="H24">
        <v>0.78500476877619696</v>
      </c>
    </row>
    <row r="25" spans="1:8" x14ac:dyDescent="0.25">
      <c r="A25">
        <v>12.6423146473779</v>
      </c>
      <c r="B25">
        <v>0.92790990173847299</v>
      </c>
      <c r="C25">
        <v>12.908740204942699</v>
      </c>
      <c r="D25">
        <v>0.92349857455889195</v>
      </c>
      <c r="E25">
        <v>14.9513361462728</v>
      </c>
      <c r="F25">
        <v>0.86870929705215405</v>
      </c>
      <c r="G25">
        <v>13.3350210970464</v>
      </c>
      <c r="H25">
        <v>0.78447022607022598</v>
      </c>
    </row>
    <row r="26" spans="1:8" x14ac:dyDescent="0.25">
      <c r="A26">
        <v>13.2284508740204</v>
      </c>
      <c r="B26">
        <v>0.92790990173847299</v>
      </c>
      <c r="C26">
        <v>13.494876431585199</v>
      </c>
      <c r="D26">
        <v>0.92328597234628895</v>
      </c>
      <c r="E26">
        <v>16.212417118746199</v>
      </c>
      <c r="F26">
        <v>0.86853921528207201</v>
      </c>
      <c r="G26">
        <v>13.921157323688901</v>
      </c>
      <c r="H26">
        <v>0.78357122242836497</v>
      </c>
    </row>
    <row r="27" spans="1:8" x14ac:dyDescent="0.25">
      <c r="A27">
        <v>13.7648543299176</v>
      </c>
      <c r="B27">
        <v>0.928845351473922</v>
      </c>
      <c r="C27">
        <v>14.081012658227801</v>
      </c>
      <c r="D27">
        <v>0.92316583522297802</v>
      </c>
      <c r="E27">
        <v>16.798553345388701</v>
      </c>
      <c r="F27">
        <v>0.86844202569916795</v>
      </c>
      <c r="G27">
        <v>14.5072935503315</v>
      </c>
      <c r="H27">
        <v>0.78291519274376398</v>
      </c>
    </row>
    <row r="28" spans="1:8" x14ac:dyDescent="0.25">
      <c r="A28">
        <v>14.400723327305601</v>
      </c>
      <c r="B28">
        <v>0.92989013949013899</v>
      </c>
      <c r="C28">
        <v>14.640506329113901</v>
      </c>
      <c r="D28">
        <v>0.92302201778065696</v>
      </c>
      <c r="E28">
        <v>17.384689572031299</v>
      </c>
      <c r="F28">
        <v>0.86832053872053805</v>
      </c>
      <c r="G28">
        <v>15.160036166365201</v>
      </c>
      <c r="H28">
        <v>0.78093293020912002</v>
      </c>
    </row>
    <row r="29" spans="1:8" x14ac:dyDescent="0.25">
      <c r="A29">
        <v>14.9935201928872</v>
      </c>
      <c r="B29">
        <v>0.92951352985638602</v>
      </c>
      <c r="C29">
        <v>15.4131404460518</v>
      </c>
      <c r="D29">
        <v>0.92294328264831604</v>
      </c>
      <c r="E29">
        <v>17.9708257986739</v>
      </c>
      <c r="F29">
        <v>0.86817475434618196</v>
      </c>
      <c r="G29">
        <v>15.638122027995401</v>
      </c>
      <c r="H29">
        <v>0.78021278239690905</v>
      </c>
    </row>
    <row r="30" spans="1:8" x14ac:dyDescent="0.25">
      <c r="A30">
        <v>15.5729957805907</v>
      </c>
      <c r="B30">
        <v>0.92991443688586495</v>
      </c>
      <c r="C30">
        <v>15.9992766726943</v>
      </c>
      <c r="D30">
        <v>0.92256204493918703</v>
      </c>
      <c r="E30">
        <v>18.5036769138034</v>
      </c>
      <c r="F30">
        <v>0.86814505752918403</v>
      </c>
      <c r="G30">
        <v>16.265702230259102</v>
      </c>
      <c r="H30">
        <v>0.77980512609083996</v>
      </c>
    </row>
    <row r="31" spans="1:8" x14ac:dyDescent="0.25">
      <c r="A31">
        <v>16.1591320072332</v>
      </c>
      <c r="B31">
        <v>0.92984154469868696</v>
      </c>
      <c r="C31">
        <v>16.5712035362668</v>
      </c>
      <c r="D31">
        <v>0.92164921877886896</v>
      </c>
      <c r="E31">
        <v>19.7825195901145</v>
      </c>
      <c r="F31">
        <v>0.86773740122311505</v>
      </c>
      <c r="G31">
        <v>16.851838456901699</v>
      </c>
      <c r="H31">
        <v>0.77885752765752703</v>
      </c>
    </row>
    <row r="32" spans="1:8" x14ac:dyDescent="0.25">
      <c r="A32">
        <v>16.745268233875802</v>
      </c>
      <c r="B32">
        <v>0.92957427334570097</v>
      </c>
      <c r="C32">
        <v>17.171549125979499</v>
      </c>
      <c r="D32">
        <v>0.92109448223733903</v>
      </c>
      <c r="E32">
        <v>20.368655816756998</v>
      </c>
      <c r="F32">
        <v>0.86764021164021099</v>
      </c>
      <c r="G32">
        <v>17.437974683544301</v>
      </c>
      <c r="H32">
        <v>0.77805571359856995</v>
      </c>
    </row>
    <row r="33" spans="1:8" x14ac:dyDescent="0.25">
      <c r="A33">
        <v>17.3314044605183</v>
      </c>
      <c r="B33">
        <v>0.92950138115852399</v>
      </c>
      <c r="C33">
        <v>17.757685352622001</v>
      </c>
      <c r="D33">
        <v>0.92087580567580496</v>
      </c>
      <c r="E33">
        <v>20.9547920433996</v>
      </c>
      <c r="F33">
        <v>0.86744583247440299</v>
      </c>
      <c r="G33">
        <v>18.024110910186799</v>
      </c>
      <c r="H33">
        <v>0.77715670995670905</v>
      </c>
    </row>
    <row r="34" spans="1:8" x14ac:dyDescent="0.25">
      <c r="A34">
        <v>17.917540687160901</v>
      </c>
      <c r="B34">
        <v>0.92964716553287896</v>
      </c>
      <c r="C34">
        <v>18.343821579264599</v>
      </c>
      <c r="D34">
        <v>0.92014688380402598</v>
      </c>
      <c r="E34">
        <v>21.540928270042102</v>
      </c>
      <c r="F34">
        <v>0.86732434549577397</v>
      </c>
      <c r="G34">
        <v>18.6102471368294</v>
      </c>
      <c r="H34">
        <v>0.77630630110630106</v>
      </c>
    </row>
    <row r="35" spans="1:8" x14ac:dyDescent="0.25">
      <c r="A35">
        <v>18.5036769138034</v>
      </c>
      <c r="B35">
        <v>0.92954997594997502</v>
      </c>
      <c r="C35">
        <v>18.929957805907101</v>
      </c>
      <c r="D35">
        <v>0.91944225932797297</v>
      </c>
      <c r="E35">
        <v>22.1004219409282</v>
      </c>
      <c r="F35">
        <v>0.86747984882842</v>
      </c>
      <c r="G35">
        <v>19.196383363471899</v>
      </c>
      <c r="H35">
        <v>0.77509143132000202</v>
      </c>
    </row>
    <row r="36" spans="1:8" x14ac:dyDescent="0.25">
      <c r="A36">
        <v>19.089813140446001</v>
      </c>
      <c r="B36">
        <v>0.92937989417989397</v>
      </c>
      <c r="C36">
        <v>19.516094032549699</v>
      </c>
      <c r="D36">
        <v>0.91890771662200199</v>
      </c>
      <c r="E36">
        <v>23.459192284508699</v>
      </c>
      <c r="F36">
        <v>0.86596369133511897</v>
      </c>
      <c r="G36">
        <v>19.7825195901145</v>
      </c>
      <c r="H36">
        <v>0.77416813028241505</v>
      </c>
    </row>
    <row r="37" spans="1:8" x14ac:dyDescent="0.25">
      <c r="A37">
        <v>19.675949367088599</v>
      </c>
      <c r="B37">
        <v>0.92964716553287896</v>
      </c>
      <c r="C37">
        <v>20.102230259192201</v>
      </c>
      <c r="D37">
        <v>0.91851895829038599</v>
      </c>
      <c r="E37">
        <v>24.045328511151201</v>
      </c>
      <c r="F37">
        <v>0.86591509654366705</v>
      </c>
      <c r="G37">
        <v>20.368655816756998</v>
      </c>
      <c r="H37">
        <v>0.77329342403628099</v>
      </c>
    </row>
    <row r="38" spans="1:8" x14ac:dyDescent="0.25">
      <c r="A38">
        <v>20.262085593731101</v>
      </c>
      <c r="B38">
        <v>0.92945278636707196</v>
      </c>
      <c r="C38">
        <v>20.688366485834798</v>
      </c>
      <c r="D38">
        <v>0.91803301037586704</v>
      </c>
      <c r="E38">
        <v>24.631464737793799</v>
      </c>
      <c r="F38">
        <v>0.86576931216931197</v>
      </c>
      <c r="G38">
        <v>20.9547920433996</v>
      </c>
      <c r="H38">
        <v>0.77207855424998195</v>
      </c>
    </row>
    <row r="39" spans="1:8" x14ac:dyDescent="0.25">
      <c r="A39">
        <v>20.848221820373698</v>
      </c>
      <c r="B39">
        <v>0.92937989417989397</v>
      </c>
      <c r="C39">
        <v>21.2745027124773</v>
      </c>
      <c r="D39">
        <v>0.91776573902288106</v>
      </c>
      <c r="E39">
        <v>25.2176009644364</v>
      </c>
      <c r="F39">
        <v>0.86533195904624405</v>
      </c>
      <c r="G39">
        <v>21.540928270042102</v>
      </c>
      <c r="H39">
        <v>0.770815089672232</v>
      </c>
    </row>
    <row r="40" spans="1:8" x14ac:dyDescent="0.25">
      <c r="A40">
        <v>21.4343580470162</v>
      </c>
      <c r="B40">
        <v>0.92937989417989397</v>
      </c>
      <c r="C40">
        <v>21.860638939119902</v>
      </c>
      <c r="D40">
        <v>0.91737698069126605</v>
      </c>
      <c r="E40">
        <v>25.7238095238095</v>
      </c>
      <c r="F40">
        <v>0.86493408919123205</v>
      </c>
      <c r="G40">
        <v>22.127064496684699</v>
      </c>
      <c r="H40">
        <v>0.76947873290730395</v>
      </c>
    </row>
    <row r="41" spans="1:8" x14ac:dyDescent="0.25">
      <c r="A41">
        <v>22.020494273658802</v>
      </c>
      <c r="B41">
        <v>0.929428488971346</v>
      </c>
      <c r="C41">
        <v>22.446775165762499</v>
      </c>
      <c r="D41">
        <v>0.91691533017247295</v>
      </c>
      <c r="E41">
        <v>27.1891500904159</v>
      </c>
      <c r="F41">
        <v>0.86479741634027296</v>
      </c>
      <c r="G41">
        <v>22.713200723327301</v>
      </c>
      <c r="H41">
        <v>0.76814237614237602</v>
      </c>
    </row>
    <row r="42" spans="1:8" x14ac:dyDescent="0.25">
      <c r="A42">
        <v>22.6066305003013</v>
      </c>
      <c r="B42">
        <v>0.929234109805538</v>
      </c>
      <c r="C42">
        <v>23.032911392405001</v>
      </c>
      <c r="D42">
        <v>0.91674524840239102</v>
      </c>
      <c r="E42">
        <v>27.775286317058399</v>
      </c>
      <c r="F42">
        <v>0.86411708925994601</v>
      </c>
      <c r="G42">
        <v>23.299336949969799</v>
      </c>
      <c r="H42">
        <v>0.76675742458599605</v>
      </c>
    </row>
    <row r="43" spans="1:8" x14ac:dyDescent="0.25">
      <c r="A43">
        <v>23.192766726943901</v>
      </c>
      <c r="B43">
        <v>0.92911262282690799</v>
      </c>
      <c r="C43">
        <v>23.619047619047599</v>
      </c>
      <c r="D43">
        <v>0.91606492132206396</v>
      </c>
      <c r="E43">
        <v>28.361422543701</v>
      </c>
      <c r="F43">
        <v>0.86353395176252301</v>
      </c>
      <c r="G43">
        <v>23.8854731766124</v>
      </c>
      <c r="H43">
        <v>0.76551825740397095</v>
      </c>
    </row>
    <row r="44" spans="1:8" x14ac:dyDescent="0.25">
      <c r="A44">
        <v>23.778902953586499</v>
      </c>
      <c r="B44">
        <v>0.92903973063973</v>
      </c>
      <c r="C44">
        <v>24.205183845690101</v>
      </c>
      <c r="D44">
        <v>0.915457486428915</v>
      </c>
      <c r="E44">
        <v>28.947558770343498</v>
      </c>
      <c r="F44">
        <v>0.86287792207792202</v>
      </c>
      <c r="G44">
        <v>24.471609403254899</v>
      </c>
      <c r="H44">
        <v>0.76408471105613895</v>
      </c>
    </row>
    <row r="45" spans="1:8" x14ac:dyDescent="0.25">
      <c r="A45">
        <v>24.365039180229001</v>
      </c>
      <c r="B45">
        <v>0.92906402803545596</v>
      </c>
      <c r="C45">
        <v>24.791320072332699</v>
      </c>
      <c r="D45">
        <v>0.914679969765684</v>
      </c>
      <c r="E45">
        <v>29.3205545509343</v>
      </c>
      <c r="F45">
        <v>0.86282932728646999</v>
      </c>
      <c r="G45">
        <v>25.0577456298975</v>
      </c>
      <c r="H45">
        <v>0.76260256991685504</v>
      </c>
    </row>
    <row r="46" spans="1:8" x14ac:dyDescent="0.25">
      <c r="A46">
        <v>24.951175406871599</v>
      </c>
      <c r="B46">
        <v>0.92896683845255201</v>
      </c>
      <c r="C46">
        <v>25.377456298975201</v>
      </c>
      <c r="D46">
        <v>0.91392675049817895</v>
      </c>
      <c r="E46">
        <v>30.4928270042194</v>
      </c>
      <c r="F46">
        <v>0.86207610801896495</v>
      </c>
      <c r="G46">
        <v>25.643881856539998</v>
      </c>
      <c r="H46">
        <v>0.76114472617329698</v>
      </c>
    </row>
    <row r="47" spans="1:8" x14ac:dyDescent="0.25">
      <c r="A47">
        <v>25.537311633514101</v>
      </c>
      <c r="B47">
        <v>0.928845351473922</v>
      </c>
      <c r="C47">
        <v>25.963592525617798</v>
      </c>
      <c r="D47">
        <v>0.91322212602212605</v>
      </c>
      <c r="E47">
        <v>31.078963230861898</v>
      </c>
      <c r="F47">
        <v>0.86151726791726702</v>
      </c>
      <c r="G47">
        <v>26.2300180831826</v>
      </c>
      <c r="H47">
        <v>0.75966258503401296</v>
      </c>
    </row>
    <row r="48" spans="1:8" x14ac:dyDescent="0.25">
      <c r="A48">
        <v>26.123447860156698</v>
      </c>
      <c r="B48">
        <v>0.928845351473922</v>
      </c>
      <c r="C48">
        <v>26.5497287522603</v>
      </c>
      <c r="D48">
        <v>0.912468906754621</v>
      </c>
      <c r="E48">
        <v>31.6650994575045</v>
      </c>
      <c r="F48">
        <v>0.86120140177283</v>
      </c>
      <c r="G48">
        <v>26.816154309825102</v>
      </c>
      <c r="H48">
        <v>0.75820474129045501</v>
      </c>
    </row>
    <row r="49" spans="1:8" x14ac:dyDescent="0.25">
      <c r="A49">
        <v>26.7095840867992</v>
      </c>
      <c r="B49">
        <v>0.928845351473922</v>
      </c>
      <c r="C49">
        <v>27.135864978902902</v>
      </c>
      <c r="D49">
        <v>0.91173998488284203</v>
      </c>
      <c r="E49">
        <v>32.251235684146998</v>
      </c>
      <c r="F49">
        <v>0.86073975125403601</v>
      </c>
      <c r="G49">
        <v>27.402290536467699</v>
      </c>
      <c r="H49">
        <v>0.75650392358963703</v>
      </c>
    </row>
    <row r="50" spans="1:8" x14ac:dyDescent="0.25">
      <c r="A50">
        <v>27.295720313441802</v>
      </c>
      <c r="B50">
        <v>0.928845351473922</v>
      </c>
      <c r="C50">
        <v>27.722001205545499</v>
      </c>
      <c r="D50">
        <v>0.91101106301106205</v>
      </c>
      <c r="E50">
        <v>32.837371910789599</v>
      </c>
      <c r="F50">
        <v>0.860229505943791</v>
      </c>
      <c r="G50">
        <v>27.988426763110301</v>
      </c>
      <c r="H50">
        <v>0.75497318765890098</v>
      </c>
    </row>
    <row r="51" spans="1:8" x14ac:dyDescent="0.25">
      <c r="A51">
        <v>27.8818565400843</v>
      </c>
      <c r="B51">
        <v>0.92857808012093701</v>
      </c>
      <c r="C51">
        <v>28.308137432188001</v>
      </c>
      <c r="D51">
        <v>0.910257843743558</v>
      </c>
      <c r="E51">
        <v>33.183725135623803</v>
      </c>
      <c r="F51">
        <v>0.86015661375661301</v>
      </c>
      <c r="G51">
        <v>28.574562989752799</v>
      </c>
      <c r="H51">
        <v>0.753272369958084</v>
      </c>
    </row>
    <row r="52" spans="1:8" x14ac:dyDescent="0.25">
      <c r="A52">
        <v>28.467992766726901</v>
      </c>
      <c r="B52">
        <v>0.92857808012093701</v>
      </c>
      <c r="C52">
        <v>28.894273658830599</v>
      </c>
      <c r="D52">
        <v>0.90965040885040804</v>
      </c>
      <c r="E52">
        <v>34.276069921639497</v>
      </c>
      <c r="F52">
        <v>0.85950058407201202</v>
      </c>
      <c r="G52">
        <v>29.1606992163954</v>
      </c>
      <c r="H52">
        <v>0.751644444444444</v>
      </c>
    </row>
    <row r="53" spans="1:8" x14ac:dyDescent="0.25">
      <c r="A53">
        <v>29.054128993369499</v>
      </c>
      <c r="B53">
        <v>0.92840799835085497</v>
      </c>
      <c r="C53">
        <v>29.480409885473101</v>
      </c>
      <c r="D53">
        <v>0.908702810417096</v>
      </c>
      <c r="E53">
        <v>34.862206148282098</v>
      </c>
      <c r="F53">
        <v>0.85896604136604104</v>
      </c>
      <c r="G53">
        <v>29.640265220012001</v>
      </c>
      <c r="H53">
        <v>0.750460814166936</v>
      </c>
    </row>
    <row r="54" spans="1:8" x14ac:dyDescent="0.25">
      <c r="A54">
        <v>29.6082941531042</v>
      </c>
      <c r="B54">
        <v>0.92804353741496504</v>
      </c>
      <c r="C54">
        <v>30.1426676999913</v>
      </c>
      <c r="D54">
        <v>0.907960004319188</v>
      </c>
      <c r="E54">
        <v>35.4483423749246</v>
      </c>
      <c r="F54">
        <v>0.85813992991135801</v>
      </c>
      <c r="G54">
        <v>30.3329716696805</v>
      </c>
      <c r="H54">
        <v>0.74887454133168396</v>
      </c>
    </row>
    <row r="55" spans="1:8" x14ac:dyDescent="0.25">
      <c r="A55">
        <v>30.3329716696805</v>
      </c>
      <c r="B55">
        <v>0.92823791658077304</v>
      </c>
      <c r="C55">
        <v>30.652682338758201</v>
      </c>
      <c r="D55">
        <v>0.90719637188208602</v>
      </c>
      <c r="E55">
        <v>36.034478601567201</v>
      </c>
      <c r="F55">
        <v>0.857629684601113</v>
      </c>
      <c r="G55">
        <v>30.919107896322998</v>
      </c>
      <c r="H55">
        <v>0.74714942623514002</v>
      </c>
    </row>
    <row r="56" spans="1:8" x14ac:dyDescent="0.25">
      <c r="A56">
        <v>30.919107896322998</v>
      </c>
      <c r="B56">
        <v>0.92831080876795102</v>
      </c>
      <c r="C56">
        <v>31.238818565400798</v>
      </c>
      <c r="D56">
        <v>0.90644315261458097</v>
      </c>
      <c r="E56">
        <v>36.620614828209703</v>
      </c>
      <c r="F56">
        <v>0.85711943929086698</v>
      </c>
      <c r="G56">
        <v>31.5052441229656</v>
      </c>
      <c r="H56">
        <v>0.745084147598433</v>
      </c>
    </row>
    <row r="57" spans="1:8" x14ac:dyDescent="0.25">
      <c r="A57">
        <v>31.5052441229656</v>
      </c>
      <c r="B57">
        <v>0.92857808012093701</v>
      </c>
      <c r="C57">
        <v>31.8249547920433</v>
      </c>
      <c r="D57">
        <v>0.90573852813852795</v>
      </c>
      <c r="E57">
        <v>36.966968053043999</v>
      </c>
      <c r="F57">
        <v>0.85694935752078605</v>
      </c>
      <c r="G57">
        <v>32.091380349608201</v>
      </c>
      <c r="H57">
        <v>0.74321324812753298</v>
      </c>
    </row>
    <row r="58" spans="1:8" x14ac:dyDescent="0.25">
      <c r="A58">
        <v>32.091380349608201</v>
      </c>
      <c r="B58">
        <v>0.92857808012093701</v>
      </c>
      <c r="C58">
        <v>32.411091018685902</v>
      </c>
      <c r="D58">
        <v>0.90503390366247505</v>
      </c>
      <c r="E58">
        <v>38.006027727546702</v>
      </c>
      <c r="F58">
        <v>0.85571019033876095</v>
      </c>
      <c r="G58">
        <v>32.437733574442397</v>
      </c>
      <c r="H58">
        <v>0.74255721844293199</v>
      </c>
    </row>
    <row r="59" spans="1:8" x14ac:dyDescent="0.25">
      <c r="A59">
        <v>32.677516576250703</v>
      </c>
      <c r="B59">
        <v>0.92857808012093701</v>
      </c>
      <c r="C59">
        <v>32.997227245328503</v>
      </c>
      <c r="D59">
        <v>0.90459655053940702</v>
      </c>
      <c r="E59">
        <v>38.603582192370602</v>
      </c>
      <c r="F59">
        <v>0.85442937047834999</v>
      </c>
      <c r="G59">
        <v>33.530078360458099</v>
      </c>
      <c r="H59">
        <v>0.73888831168831104</v>
      </c>
    </row>
    <row r="60" spans="1:8" x14ac:dyDescent="0.25">
      <c r="A60">
        <v>33.263652802893297</v>
      </c>
      <c r="B60">
        <v>0.92852948532948498</v>
      </c>
      <c r="C60">
        <v>33.583363471970998</v>
      </c>
      <c r="D60">
        <v>0.90416729654824801</v>
      </c>
      <c r="E60">
        <v>39.178300180831798</v>
      </c>
      <c r="F60">
        <v>0.85456821273964101</v>
      </c>
      <c r="G60">
        <v>34.138416716897702</v>
      </c>
      <c r="H60">
        <v>0.73647679516250897</v>
      </c>
    </row>
    <row r="61" spans="1:8" x14ac:dyDescent="0.25">
      <c r="A61">
        <v>33.849789029535799</v>
      </c>
      <c r="B61">
        <v>0.928456593142307</v>
      </c>
      <c r="C61">
        <v>34.169499698613599</v>
      </c>
      <c r="D61">
        <v>0.90273213037403499</v>
      </c>
      <c r="E61">
        <v>39.7644364074743</v>
      </c>
      <c r="F61">
        <v>0.85396077784649205</v>
      </c>
      <c r="G61">
        <v>34.652618042997702</v>
      </c>
      <c r="H61">
        <v>0.73437871504157204</v>
      </c>
    </row>
    <row r="62" spans="1:8" x14ac:dyDescent="0.25">
      <c r="A62">
        <v>34.4359252561784</v>
      </c>
      <c r="B62">
        <v>0.92804353741496504</v>
      </c>
      <c r="C62">
        <v>34.755635925256101</v>
      </c>
      <c r="D62">
        <v>0.90167114409400095</v>
      </c>
      <c r="E62">
        <v>40.323930078360398</v>
      </c>
      <c r="F62">
        <v>0.85376882842025603</v>
      </c>
      <c r="G62">
        <v>35.255696202531603</v>
      </c>
      <c r="H62">
        <v>0.73252426303854801</v>
      </c>
    </row>
    <row r="63" spans="1:8" x14ac:dyDescent="0.25">
      <c r="A63">
        <v>35.022061482820902</v>
      </c>
      <c r="B63">
        <v>0.92804353741496504</v>
      </c>
      <c r="C63">
        <v>35.341772151898702</v>
      </c>
      <c r="D63">
        <v>0.90033525013660998</v>
      </c>
      <c r="E63">
        <v>41.416274864376099</v>
      </c>
      <c r="F63">
        <v>0.85221136535422204</v>
      </c>
      <c r="G63">
        <v>36.7804701627486</v>
      </c>
      <c r="H63">
        <v>0.72705547996976505</v>
      </c>
    </row>
    <row r="64" spans="1:8" x14ac:dyDescent="0.25">
      <c r="A64">
        <v>35.608197709463496</v>
      </c>
      <c r="B64">
        <v>0.92794634783206198</v>
      </c>
      <c r="C64">
        <v>35.927908378541197</v>
      </c>
      <c r="D64">
        <v>0.89917707427367199</v>
      </c>
      <c r="E64">
        <v>42.002411091018601</v>
      </c>
      <c r="F64">
        <v>0.85157963306534701</v>
      </c>
      <c r="G64">
        <v>37.374804098854703</v>
      </c>
      <c r="H64">
        <v>0.724300529100529</v>
      </c>
    </row>
    <row r="65" spans="1:8" x14ac:dyDescent="0.25">
      <c r="A65">
        <v>36.194333936105998</v>
      </c>
      <c r="B65">
        <v>0.92794634783206198</v>
      </c>
      <c r="C65">
        <v>36.514044605183798</v>
      </c>
      <c r="D65">
        <v>0.89859509379509295</v>
      </c>
      <c r="E65">
        <v>42.588547317661202</v>
      </c>
      <c r="F65">
        <v>0.85063203463203396</v>
      </c>
      <c r="G65">
        <v>37.952742616033703</v>
      </c>
      <c r="H65">
        <v>0.72197732426303796</v>
      </c>
    </row>
    <row r="66" spans="1:8" x14ac:dyDescent="0.25">
      <c r="A66">
        <v>36.7804701627486</v>
      </c>
      <c r="B66">
        <v>0.92765477908335003</v>
      </c>
      <c r="C66">
        <v>36.940325497287503</v>
      </c>
      <c r="D66">
        <v>0.89912477702191895</v>
      </c>
      <c r="E66">
        <v>43.174683544303697</v>
      </c>
      <c r="F66">
        <v>0.84973303099017305</v>
      </c>
      <c r="G66">
        <v>38.4323086196503</v>
      </c>
      <c r="H66">
        <v>0.72018278803584901</v>
      </c>
    </row>
    <row r="67" spans="1:8" x14ac:dyDescent="0.25">
      <c r="A67">
        <v>37.366606389391102</v>
      </c>
      <c r="B67">
        <v>0.92743610252181596</v>
      </c>
      <c r="C67">
        <v>38.059312839059601</v>
      </c>
      <c r="D67">
        <v>0.89662700474128998</v>
      </c>
      <c r="E67">
        <v>43.680892103676896</v>
      </c>
      <c r="F67">
        <v>0.84899803476946301</v>
      </c>
      <c r="G67">
        <v>39.551295961422497</v>
      </c>
      <c r="H67">
        <v>0.71476099773242596</v>
      </c>
    </row>
    <row r="68" spans="1:8" x14ac:dyDescent="0.25">
      <c r="A68">
        <v>37.952742616033703</v>
      </c>
      <c r="B68">
        <v>0.92709593898165299</v>
      </c>
      <c r="C68">
        <v>38.645449065702202</v>
      </c>
      <c r="D68">
        <v>0.89580089328660695</v>
      </c>
      <c r="E68">
        <v>44.506811332127697</v>
      </c>
      <c r="F68">
        <v>0.84834807943379298</v>
      </c>
      <c r="G68">
        <v>40.137432188064999</v>
      </c>
      <c r="H68">
        <v>0.71254993472136297</v>
      </c>
    </row>
    <row r="69" spans="1:8" x14ac:dyDescent="0.25">
      <c r="A69">
        <v>38.538878842676297</v>
      </c>
      <c r="B69">
        <v>0.92697445200302298</v>
      </c>
      <c r="C69">
        <v>39.231585292344697</v>
      </c>
      <c r="D69">
        <v>0.89497478183192403</v>
      </c>
      <c r="E69">
        <v>45.138620511495702</v>
      </c>
      <c r="F69">
        <v>0.84740395205701302</v>
      </c>
      <c r="G69">
        <v>40.7235684147076</v>
      </c>
      <c r="H69">
        <v>0.70973143681715101</v>
      </c>
    </row>
    <row r="70" spans="1:8" x14ac:dyDescent="0.25">
      <c r="A70">
        <v>39.125015069318799</v>
      </c>
      <c r="B70">
        <v>0.92658569367140697</v>
      </c>
      <c r="C70">
        <v>39.577938517179</v>
      </c>
      <c r="D70">
        <v>0.89436734693877495</v>
      </c>
      <c r="E70">
        <v>45.679083785412899</v>
      </c>
      <c r="F70">
        <v>0.84667155912870196</v>
      </c>
      <c r="G70">
        <v>41.327466345187801</v>
      </c>
      <c r="H70">
        <v>0.70656467624086605</v>
      </c>
    </row>
    <row r="71" spans="1:8" x14ac:dyDescent="0.25">
      <c r="A71">
        <v>39.7111512959614</v>
      </c>
      <c r="B71">
        <v>0.92636701710987401</v>
      </c>
      <c r="C71">
        <v>40.616998191681702</v>
      </c>
      <c r="D71">
        <v>0.89259363705077899</v>
      </c>
      <c r="E71">
        <v>46.265220012055401</v>
      </c>
      <c r="F71">
        <v>0.84569966329966295</v>
      </c>
      <c r="G71">
        <v>41.895840867992703</v>
      </c>
      <c r="H71">
        <v>0.70409444100872598</v>
      </c>
    </row>
    <row r="72" spans="1:8" x14ac:dyDescent="0.25">
      <c r="A72">
        <v>40.297287522603902</v>
      </c>
      <c r="B72">
        <v>0.92597825877825801</v>
      </c>
      <c r="C72">
        <v>41.203134418324296</v>
      </c>
      <c r="D72">
        <v>0.89150025424311097</v>
      </c>
      <c r="E72">
        <v>46.691500904159099</v>
      </c>
      <c r="F72">
        <v>0.84518941798941705</v>
      </c>
      <c r="G72">
        <v>42.481977094635297</v>
      </c>
      <c r="H72">
        <v>0.70197015441096999</v>
      </c>
    </row>
    <row r="73" spans="1:8" x14ac:dyDescent="0.25">
      <c r="A73">
        <v>40.883423749246496</v>
      </c>
      <c r="B73">
        <v>0.92568669002954695</v>
      </c>
      <c r="C73">
        <v>41.789270644966798</v>
      </c>
      <c r="D73">
        <v>0.89040687143544195</v>
      </c>
      <c r="E73">
        <v>47.703918022905299</v>
      </c>
      <c r="F73">
        <v>0.84448479351336403</v>
      </c>
      <c r="G73">
        <v>43.068113321277799</v>
      </c>
      <c r="H73">
        <v>0.69804091841642801</v>
      </c>
    </row>
    <row r="74" spans="1:8" x14ac:dyDescent="0.25">
      <c r="A74">
        <v>41.5064496684749</v>
      </c>
      <c r="B74">
        <v>0.92436341647770204</v>
      </c>
      <c r="C74">
        <v>42.3754068716094</v>
      </c>
      <c r="D74">
        <v>0.88928919123204797</v>
      </c>
      <c r="E74">
        <v>48.2900542495479</v>
      </c>
      <c r="F74">
        <v>0.84375587164158505</v>
      </c>
      <c r="G74">
        <v>43.678227848101201</v>
      </c>
      <c r="H74">
        <v>0.69403410430838997</v>
      </c>
    </row>
    <row r="75" spans="1:8" x14ac:dyDescent="0.25">
      <c r="A75">
        <v>42.033494072734499</v>
      </c>
      <c r="B75">
        <v>0.92421264802217096</v>
      </c>
      <c r="C75">
        <v>42.961543098251902</v>
      </c>
      <c r="D75">
        <v>0.88817151102865299</v>
      </c>
      <c r="E75">
        <v>48.876190476190402</v>
      </c>
      <c r="F75">
        <v>0.84273538102109502</v>
      </c>
      <c r="G75">
        <v>44.213743218806499</v>
      </c>
      <c r="H75">
        <v>0.69140816326530596</v>
      </c>
    </row>
    <row r="76" spans="1:8" x14ac:dyDescent="0.25">
      <c r="A76">
        <v>42.641832429174201</v>
      </c>
      <c r="B76">
        <v>0.92418025149453698</v>
      </c>
      <c r="C76">
        <v>43.547679324894503</v>
      </c>
      <c r="D76">
        <v>0.88710242561671104</v>
      </c>
      <c r="E76">
        <v>49.462326702833003</v>
      </c>
      <c r="F76">
        <v>0.84130183467326303</v>
      </c>
      <c r="G76">
        <v>44.647860156720903</v>
      </c>
      <c r="H76">
        <v>0.68762509448223696</v>
      </c>
    </row>
    <row r="77" spans="1:8" x14ac:dyDescent="0.25">
      <c r="A77">
        <v>43.227968655816703</v>
      </c>
      <c r="B77">
        <v>0.92367000618429096</v>
      </c>
      <c r="C77">
        <v>44.133815551536998</v>
      </c>
      <c r="D77">
        <v>0.88591185322613897</v>
      </c>
      <c r="E77">
        <v>49.995177817962599</v>
      </c>
      <c r="F77">
        <v>0.84020035273368598</v>
      </c>
      <c r="G77">
        <v>45.412658227848098</v>
      </c>
      <c r="H77">
        <v>0.68441541950113305</v>
      </c>
    </row>
    <row r="78" spans="1:8" x14ac:dyDescent="0.25">
      <c r="A78">
        <v>43.814104882459297</v>
      </c>
      <c r="B78">
        <v>0.92301397649968997</v>
      </c>
      <c r="C78">
        <v>44.687980711271798</v>
      </c>
      <c r="D78">
        <v>0.88434467120181404</v>
      </c>
      <c r="E78">
        <v>51.433875828812504</v>
      </c>
      <c r="F78">
        <v>0.83828895760324296</v>
      </c>
      <c r="G78">
        <v>45.990596745027098</v>
      </c>
      <c r="H78">
        <v>0.68089977324262996</v>
      </c>
    </row>
    <row r="79" spans="1:8" x14ac:dyDescent="0.25">
      <c r="A79">
        <v>44.400241109101799</v>
      </c>
      <c r="B79">
        <v>0.92243083900226697</v>
      </c>
      <c r="C79">
        <v>45.412658227848098</v>
      </c>
      <c r="D79">
        <v>0.883166247509104</v>
      </c>
      <c r="E79">
        <v>52.020012055455098</v>
      </c>
      <c r="F79">
        <v>0.83729276437847799</v>
      </c>
      <c r="G79">
        <v>46.492569821177398</v>
      </c>
      <c r="H79">
        <v>0.676951010330057</v>
      </c>
    </row>
    <row r="80" spans="1:8" x14ac:dyDescent="0.25">
      <c r="A80">
        <v>44.959734779987897</v>
      </c>
      <c r="B80">
        <v>0.92149538926681696</v>
      </c>
      <c r="C80">
        <v>45.9987944544906</v>
      </c>
      <c r="D80">
        <v>0.881538321995464</v>
      </c>
      <c r="E80">
        <v>52.6061482820976</v>
      </c>
      <c r="F80">
        <v>0.83561624407338597</v>
      </c>
      <c r="G80">
        <v>47.047845087402003</v>
      </c>
      <c r="H80">
        <v>0.67330052910052895</v>
      </c>
    </row>
    <row r="81" spans="1:8" x14ac:dyDescent="0.25">
      <c r="A81">
        <v>45.572513562386902</v>
      </c>
      <c r="B81">
        <v>0.92116737442451702</v>
      </c>
      <c r="C81">
        <v>46.584930681133201</v>
      </c>
      <c r="D81">
        <v>0.88003188346045402</v>
      </c>
      <c r="E81">
        <v>53.192284508740201</v>
      </c>
      <c r="F81">
        <v>0.83376964199821302</v>
      </c>
      <c r="G81">
        <v>47.534071729957802</v>
      </c>
      <c r="H81">
        <v>0.66932486772486699</v>
      </c>
    </row>
    <row r="82" spans="1:8" x14ac:dyDescent="0.25">
      <c r="A82">
        <v>46.158649789029496</v>
      </c>
      <c r="B82">
        <v>0.92055993953136805</v>
      </c>
      <c r="C82">
        <v>47.171066907775703</v>
      </c>
      <c r="D82">
        <v>0.87852544492544404</v>
      </c>
      <c r="E82">
        <v>53.698493068113301</v>
      </c>
      <c r="F82">
        <v>0.83219334845049098</v>
      </c>
      <c r="G82">
        <v>48.0378380550532</v>
      </c>
      <c r="H82">
        <v>0.66636706475182605</v>
      </c>
    </row>
    <row r="83" spans="1:8" x14ac:dyDescent="0.25">
      <c r="A83">
        <v>46.744786015671998</v>
      </c>
      <c r="B83">
        <v>0.91956374630660298</v>
      </c>
      <c r="C83">
        <v>47.757203134418297</v>
      </c>
      <c r="D83">
        <v>0.87692181680753101</v>
      </c>
      <c r="E83">
        <v>54.950693188667799</v>
      </c>
      <c r="F83">
        <v>0.82917743420600498</v>
      </c>
      <c r="G83">
        <v>48.540807715491198</v>
      </c>
      <c r="H83">
        <v>0.66196704459561595</v>
      </c>
    </row>
    <row r="84" spans="1:8" x14ac:dyDescent="0.25">
      <c r="A84">
        <v>47.3591320072332</v>
      </c>
      <c r="B84">
        <v>0.91898045567433295</v>
      </c>
      <c r="C84">
        <v>48.343339361060799</v>
      </c>
      <c r="D84">
        <v>0.87534248608534304</v>
      </c>
      <c r="E84">
        <v>55.514627285513299</v>
      </c>
      <c r="F84">
        <v>0.82741587301587205</v>
      </c>
      <c r="G84">
        <v>49.062688366485801</v>
      </c>
      <c r="H84">
        <v>0.65880105820105805</v>
      </c>
    </row>
    <row r="85" spans="1:8" x14ac:dyDescent="0.25">
      <c r="A85">
        <v>47.917058468957102</v>
      </c>
      <c r="B85">
        <v>0.917862928605785</v>
      </c>
      <c r="C85">
        <v>48.929475587703401</v>
      </c>
      <c r="D85">
        <v>0.87405472411186602</v>
      </c>
      <c r="E85">
        <v>56.122965641952902</v>
      </c>
      <c r="F85">
        <v>0.82572720401291799</v>
      </c>
      <c r="G85">
        <v>49.490536467751603</v>
      </c>
      <c r="H85">
        <v>0.65501798941798905</v>
      </c>
    </row>
    <row r="86" spans="1:8" x14ac:dyDescent="0.25">
      <c r="A86">
        <v>48.503194695599703</v>
      </c>
      <c r="B86">
        <v>0.917085411942554</v>
      </c>
      <c r="C86">
        <v>49.515611814345903</v>
      </c>
      <c r="D86">
        <v>0.87259688036830796</v>
      </c>
      <c r="E86">
        <v>56.709101868595504</v>
      </c>
      <c r="F86">
        <v>0.82329746444032104</v>
      </c>
      <c r="G86">
        <v>50.0014466546112</v>
      </c>
      <c r="H86">
        <v>0.65185789871504096</v>
      </c>
    </row>
    <row r="87" spans="1:8" x14ac:dyDescent="0.25">
      <c r="A87">
        <v>49.089330922242297</v>
      </c>
      <c r="B87">
        <v>0.91630789527932299</v>
      </c>
      <c r="C87">
        <v>50.101748040988497</v>
      </c>
      <c r="D87">
        <v>0.87104184704184695</v>
      </c>
      <c r="E87">
        <v>57.028812537673303</v>
      </c>
      <c r="F87">
        <v>0.82300589569160998</v>
      </c>
      <c r="G87">
        <v>50.415189873417702</v>
      </c>
      <c r="H87">
        <v>0.64742433862433801</v>
      </c>
    </row>
    <row r="88" spans="1:8" x14ac:dyDescent="0.25">
      <c r="A88">
        <v>49.675467148884799</v>
      </c>
      <c r="B88">
        <v>0.91560327080326998</v>
      </c>
      <c r="C88">
        <v>50.687884267631098</v>
      </c>
      <c r="D88">
        <v>0.86924383975812503</v>
      </c>
      <c r="E88">
        <v>58.041229656419503</v>
      </c>
      <c r="F88">
        <v>0.81821930873359405</v>
      </c>
      <c r="G88">
        <v>50.907293550331502</v>
      </c>
      <c r="H88">
        <v>0.64442146636432296</v>
      </c>
    </row>
    <row r="89" spans="1:8" x14ac:dyDescent="0.25">
      <c r="A89">
        <v>50.2616033755274</v>
      </c>
      <c r="B89">
        <v>0.91480145674431301</v>
      </c>
      <c r="C89">
        <v>51.2740204942736</v>
      </c>
      <c r="D89">
        <v>0.86732434549577397</v>
      </c>
      <c r="E89">
        <v>58.627365883061998</v>
      </c>
      <c r="F89">
        <v>0.81654278842850203</v>
      </c>
      <c r="G89">
        <v>51.321036769137997</v>
      </c>
      <c r="H89">
        <v>0.64005079365079298</v>
      </c>
    </row>
    <row r="90" spans="1:8" x14ac:dyDescent="0.25">
      <c r="A90">
        <v>50.847739602169902</v>
      </c>
      <c r="B90">
        <v>0.91358658695801498</v>
      </c>
      <c r="C90">
        <v>51.860156720916201</v>
      </c>
      <c r="D90">
        <v>0.86545344602487395</v>
      </c>
      <c r="E90">
        <v>59.231263813542199</v>
      </c>
      <c r="F90">
        <v>0.81411912320483704</v>
      </c>
      <c r="G90">
        <v>51.813140446051797</v>
      </c>
      <c r="H90">
        <v>0.63704792139077804</v>
      </c>
    </row>
    <row r="91" spans="1:8" x14ac:dyDescent="0.25">
      <c r="A91">
        <v>51.433875828812504</v>
      </c>
      <c r="B91">
        <v>0.91254179894179799</v>
      </c>
      <c r="C91">
        <v>52.446292947558703</v>
      </c>
      <c r="D91">
        <v>0.86348535697107098</v>
      </c>
      <c r="E91">
        <v>59.717288618554399</v>
      </c>
      <c r="F91">
        <v>0.81163471449185698</v>
      </c>
      <c r="G91">
        <v>52.226883664858299</v>
      </c>
      <c r="H91">
        <v>0.632567195767195</v>
      </c>
    </row>
    <row r="92" spans="1:8" x14ac:dyDescent="0.25">
      <c r="A92">
        <v>52.020012055455098</v>
      </c>
      <c r="B92">
        <v>0.91144841613412997</v>
      </c>
      <c r="C92">
        <v>53.032429174201297</v>
      </c>
      <c r="D92">
        <v>0.86129859135573394</v>
      </c>
      <c r="E92">
        <v>61.344906570223003</v>
      </c>
      <c r="F92">
        <v>0.805123012437298</v>
      </c>
      <c r="G92">
        <v>52.716048824593102</v>
      </c>
      <c r="H92">
        <v>0.62953484504913004</v>
      </c>
    </row>
    <row r="93" spans="1:8" x14ac:dyDescent="0.25">
      <c r="A93">
        <v>52.6061482820976</v>
      </c>
      <c r="B93">
        <v>0.91018495155638002</v>
      </c>
      <c r="C93">
        <v>53.618565400843799</v>
      </c>
      <c r="D93">
        <v>0.85913612313612298</v>
      </c>
      <c r="E93">
        <v>61.913281093027898</v>
      </c>
      <c r="F93">
        <v>0.80273781809019895</v>
      </c>
      <c r="G93">
        <v>53.082383966244699</v>
      </c>
      <c r="H93">
        <v>0.62477407407407404</v>
      </c>
    </row>
    <row r="94" spans="1:8" x14ac:dyDescent="0.25">
      <c r="A94">
        <v>53.192284508740201</v>
      </c>
      <c r="B94">
        <v>0.90860562083419205</v>
      </c>
      <c r="C94">
        <v>54.204701627486401</v>
      </c>
      <c r="D94">
        <v>0.85687646533360795</v>
      </c>
      <c r="E94">
        <v>62.517179023508099</v>
      </c>
      <c r="F94">
        <v>0.800596754719203</v>
      </c>
      <c r="G94">
        <v>53.568832630098399</v>
      </c>
      <c r="H94">
        <v>0.621804021164021</v>
      </c>
    </row>
    <row r="95" spans="1:8" x14ac:dyDescent="0.25">
      <c r="A95">
        <v>53.778420735382703</v>
      </c>
      <c r="B95">
        <v>0.90760942760942698</v>
      </c>
      <c r="C95">
        <v>54.790837854128903</v>
      </c>
      <c r="D95">
        <v>0.85458981042473103</v>
      </c>
      <c r="E95">
        <v>63.078722121760002</v>
      </c>
      <c r="F95">
        <v>0.79598799265737996</v>
      </c>
      <c r="G95">
        <v>53.865960561439699</v>
      </c>
      <c r="H95">
        <v>0.61718786308174001</v>
      </c>
    </row>
    <row r="96" spans="1:8" x14ac:dyDescent="0.25">
      <c r="A96">
        <v>54.364556962025297</v>
      </c>
      <c r="B96">
        <v>0.90644315261458097</v>
      </c>
      <c r="C96">
        <v>55.376974080771497</v>
      </c>
      <c r="D96">
        <v>0.85103699122746701</v>
      </c>
      <c r="E96">
        <v>63.582881253767297</v>
      </c>
      <c r="F96">
        <v>0.79505694849368302</v>
      </c>
      <c r="G96">
        <v>54.364556962025297</v>
      </c>
      <c r="H96">
        <v>0.61266334089191199</v>
      </c>
    </row>
    <row r="97" spans="1:8" x14ac:dyDescent="0.25">
      <c r="A97">
        <v>54.950693188667799</v>
      </c>
      <c r="B97">
        <v>0.90534976980691195</v>
      </c>
      <c r="C97">
        <v>55.963110307414098</v>
      </c>
      <c r="D97">
        <v>0.84878543255686101</v>
      </c>
      <c r="E97">
        <v>64.611693791440601</v>
      </c>
      <c r="F97">
        <v>0.78842509448223697</v>
      </c>
      <c r="G97">
        <v>54.8974080771549</v>
      </c>
      <c r="H97">
        <v>0.60699718820861603</v>
      </c>
    </row>
    <row r="98" spans="1:8" x14ac:dyDescent="0.25">
      <c r="A98">
        <v>55.554591119148</v>
      </c>
      <c r="B98">
        <v>0.90423093258467402</v>
      </c>
      <c r="C98">
        <v>56.5492465340566</v>
      </c>
      <c r="D98">
        <v>0.846841640898783</v>
      </c>
      <c r="E98">
        <v>65.174773960216996</v>
      </c>
      <c r="F98">
        <v>0.78468586545729402</v>
      </c>
      <c r="G98">
        <v>55.441477110497701</v>
      </c>
      <c r="H98">
        <v>0.60178760734034598</v>
      </c>
    </row>
    <row r="99" spans="1:8" x14ac:dyDescent="0.25">
      <c r="A99">
        <v>56.1462778782399</v>
      </c>
      <c r="B99">
        <v>0.90161230968577899</v>
      </c>
      <c r="C99">
        <v>57.135382760699201</v>
      </c>
      <c r="D99">
        <v>0.84470347007489799</v>
      </c>
      <c r="E99">
        <v>65.689210367691302</v>
      </c>
      <c r="F99">
        <v>0.78126439909296996</v>
      </c>
      <c r="G99">
        <v>55.9707224662016</v>
      </c>
      <c r="H99">
        <v>0.59714796612522503</v>
      </c>
    </row>
    <row r="100" spans="1:8" x14ac:dyDescent="0.25">
      <c r="A100">
        <v>56.709101868595504</v>
      </c>
      <c r="B100">
        <v>0.90039310107881498</v>
      </c>
      <c r="C100">
        <v>57.721518987341703</v>
      </c>
      <c r="D100">
        <v>0.84198216175358997</v>
      </c>
      <c r="E100">
        <v>66.280790584054998</v>
      </c>
      <c r="F100">
        <v>0.77950872222127499</v>
      </c>
      <c r="G100">
        <v>56.233634719710601</v>
      </c>
      <c r="H100">
        <v>0.59301272864701404</v>
      </c>
    </row>
    <row r="101" spans="1:8" x14ac:dyDescent="0.25">
      <c r="A101">
        <v>57.295238095237998</v>
      </c>
      <c r="B101">
        <v>0.89859509379509295</v>
      </c>
      <c r="C101">
        <v>58.307655213984297</v>
      </c>
      <c r="D101">
        <v>0.83940663780663705</v>
      </c>
      <c r="E101">
        <v>66.716045810729298</v>
      </c>
      <c r="F101">
        <v>0.78043625094482205</v>
      </c>
      <c r="G101">
        <v>56.6927064496684</v>
      </c>
      <c r="H101">
        <v>0.59027422524565298</v>
      </c>
    </row>
    <row r="102" spans="1:8" x14ac:dyDescent="0.25">
      <c r="A102">
        <v>57.8813743218806</v>
      </c>
      <c r="B102">
        <v>0.89735592661306895</v>
      </c>
      <c r="C102">
        <v>58.893791440626799</v>
      </c>
      <c r="D102">
        <v>0.83668532948532903</v>
      </c>
      <c r="E102">
        <v>66.815511352220199</v>
      </c>
      <c r="F102">
        <v>0.77685704207608897</v>
      </c>
      <c r="G102">
        <v>56.942736588306197</v>
      </c>
      <c r="H102">
        <v>0.58583340891912306</v>
      </c>
    </row>
    <row r="103" spans="1:8" x14ac:dyDescent="0.25">
      <c r="A103">
        <v>58.467510548523201</v>
      </c>
      <c r="B103">
        <v>0.89563081151652502</v>
      </c>
      <c r="C103">
        <v>59.266787221217598</v>
      </c>
      <c r="D103">
        <v>0.83556764928193406</v>
      </c>
      <c r="E103">
        <v>67.472694394213306</v>
      </c>
      <c r="F103">
        <v>0.77453316972772701</v>
      </c>
      <c r="G103">
        <v>57.241952983725099</v>
      </c>
      <c r="H103">
        <v>0.58540166288737705</v>
      </c>
    </row>
    <row r="104" spans="1:8" x14ac:dyDescent="0.25">
      <c r="A104">
        <v>59.053646775165703</v>
      </c>
      <c r="B104">
        <v>0.89378420944135195</v>
      </c>
      <c r="C104">
        <v>60.302886611747297</v>
      </c>
      <c r="D104">
        <v>0.829479801797262</v>
      </c>
      <c r="E104">
        <v>67.735567611010595</v>
      </c>
      <c r="F104">
        <v>0.76923089947089895</v>
      </c>
      <c r="G104">
        <v>57.754822182037302</v>
      </c>
      <c r="H104">
        <v>0.576514890400604</v>
      </c>
    </row>
    <row r="105" spans="1:8" x14ac:dyDescent="0.25">
      <c r="A105">
        <v>59.661985131605299</v>
      </c>
      <c r="B105">
        <v>0.89144963466868199</v>
      </c>
      <c r="C105">
        <v>60.8120554550934</v>
      </c>
      <c r="D105">
        <v>0.82752521129663903</v>
      </c>
      <c r="E105">
        <v>68.226298114182299</v>
      </c>
      <c r="F105">
        <v>0.76886435590109004</v>
      </c>
      <c r="G105">
        <v>58.243152184258101</v>
      </c>
      <c r="H105">
        <v>0.57157388709869905</v>
      </c>
    </row>
    <row r="106" spans="1:8" x14ac:dyDescent="0.25">
      <c r="A106">
        <v>60.261442636126098</v>
      </c>
      <c r="B106">
        <v>0.88908131351305897</v>
      </c>
      <c r="C106">
        <v>61.398191681735902</v>
      </c>
      <c r="D106">
        <v>0.82456092901807099</v>
      </c>
      <c r="E106">
        <v>68.477499354171997</v>
      </c>
      <c r="F106">
        <v>0.762946204513551</v>
      </c>
      <c r="G106">
        <v>58.692069232756303</v>
      </c>
      <c r="H106">
        <v>0.56707448439693298</v>
      </c>
    </row>
    <row r="107" spans="1:8" x14ac:dyDescent="0.25">
      <c r="A107">
        <v>60.8120554550934</v>
      </c>
      <c r="B107">
        <v>0.88756407613550403</v>
      </c>
      <c r="C107">
        <v>61.842234277677299</v>
      </c>
      <c r="D107">
        <v>0.82166953892668104</v>
      </c>
      <c r="E107">
        <v>68.955796664657399</v>
      </c>
      <c r="F107">
        <v>0.76082076089695105</v>
      </c>
      <c r="G107">
        <v>59.595901145268201</v>
      </c>
      <c r="H107">
        <v>0.55554588057445198</v>
      </c>
    </row>
    <row r="108" spans="1:8" x14ac:dyDescent="0.25">
      <c r="A108">
        <v>61.398191681735902</v>
      </c>
      <c r="B108">
        <v>0.884721280835566</v>
      </c>
      <c r="C108">
        <v>62.886844484629201</v>
      </c>
      <c r="D108">
        <v>0.81503786848072501</v>
      </c>
      <c r="E108">
        <v>69.137854128993297</v>
      </c>
      <c r="F108">
        <v>0.75621033005794902</v>
      </c>
      <c r="G108">
        <v>60.066063893912002</v>
      </c>
      <c r="H108">
        <v>0.55075357658214796</v>
      </c>
    </row>
    <row r="109" spans="1:8" x14ac:dyDescent="0.25">
      <c r="A109">
        <v>61.984327908378503</v>
      </c>
      <c r="B109">
        <v>0.881732701161272</v>
      </c>
      <c r="C109">
        <v>63.390462795525998</v>
      </c>
      <c r="D109">
        <v>0.81154292433022501</v>
      </c>
      <c r="E109">
        <v>69.604098854731703</v>
      </c>
      <c r="F109">
        <v>0.752937952944846</v>
      </c>
      <c r="G109">
        <v>60.578193021230902</v>
      </c>
      <c r="H109">
        <v>0.54483581086755595</v>
      </c>
    </row>
    <row r="110" spans="1:8" x14ac:dyDescent="0.25">
      <c r="A110">
        <v>62.520985102901903</v>
      </c>
      <c r="B110">
        <v>0.87806379440665105</v>
      </c>
      <c r="C110">
        <v>63.944035898466197</v>
      </c>
      <c r="D110">
        <v>0.80751900562694201</v>
      </c>
      <c r="E110">
        <v>70.190235081374297</v>
      </c>
      <c r="F110">
        <v>0.747100831443688</v>
      </c>
      <c r="G110">
        <v>60.918625678119298</v>
      </c>
      <c r="H110">
        <v>0.54370733182161701</v>
      </c>
    </row>
    <row r="111" spans="1:8" x14ac:dyDescent="0.25">
      <c r="A111">
        <v>63.099762909383102</v>
      </c>
      <c r="B111">
        <v>0.87471399344923095</v>
      </c>
      <c r="C111">
        <v>64.441711874623195</v>
      </c>
      <c r="D111">
        <v>0.80467422524565302</v>
      </c>
      <c r="E111">
        <v>70.753534831654093</v>
      </c>
      <c r="F111">
        <v>0.74446629953568699</v>
      </c>
      <c r="G111">
        <v>61.398191681735902</v>
      </c>
      <c r="H111">
        <v>0.53308329554043798</v>
      </c>
    </row>
    <row r="112" spans="1:8" x14ac:dyDescent="0.25">
      <c r="A112">
        <v>63.626478163187002</v>
      </c>
      <c r="B112">
        <v>0.87194085068370697</v>
      </c>
      <c r="C112">
        <v>64.854111771290704</v>
      </c>
      <c r="D112">
        <v>0.80060964721489503</v>
      </c>
      <c r="E112">
        <v>71.294690120006507</v>
      </c>
      <c r="F112">
        <v>0.73876682470968102</v>
      </c>
      <c r="G112">
        <v>61.8244725738396</v>
      </c>
      <c r="H112">
        <v>0.527620937263794</v>
      </c>
    </row>
    <row r="113" spans="1:8" x14ac:dyDescent="0.25">
      <c r="A113">
        <v>64.152365883062004</v>
      </c>
      <c r="B113">
        <v>0.86834179894179897</v>
      </c>
      <c r="C113">
        <v>65.348902092482504</v>
      </c>
      <c r="D113">
        <v>0.79645330495009703</v>
      </c>
      <c r="E113">
        <v>71.596962025316401</v>
      </c>
      <c r="F113">
        <v>0.73379071806500296</v>
      </c>
      <c r="G113">
        <v>62.250753465943298</v>
      </c>
      <c r="H113">
        <v>0.52194142101284902</v>
      </c>
    </row>
    <row r="114" spans="1:8" x14ac:dyDescent="0.25">
      <c r="A114">
        <v>64.614104882459301</v>
      </c>
      <c r="B114">
        <v>0.86463733938019605</v>
      </c>
      <c r="C114">
        <v>65.550878038979306</v>
      </c>
      <c r="D114">
        <v>0.787244988662131</v>
      </c>
      <c r="E114">
        <v>72.080289330922199</v>
      </c>
      <c r="F114">
        <v>0.72975963718820802</v>
      </c>
      <c r="G114">
        <v>62.677034358047003</v>
      </c>
      <c r="H114">
        <v>0.51591111111111099</v>
      </c>
    </row>
    <row r="115" spans="1:8" x14ac:dyDescent="0.25">
      <c r="A115">
        <v>65.139990623534899</v>
      </c>
      <c r="B115">
        <v>0.86141872847904499</v>
      </c>
      <c r="C115">
        <v>65.625477195097403</v>
      </c>
      <c r="D115">
        <v>0.793516956412194</v>
      </c>
      <c r="E115">
        <v>72.428209764918606</v>
      </c>
      <c r="F115">
        <v>0.72919365079364995</v>
      </c>
      <c r="G115">
        <v>63.103315250150601</v>
      </c>
      <c r="H115">
        <v>0.50964693877551004</v>
      </c>
    </row>
    <row r="116" spans="1:8" x14ac:dyDescent="0.25">
      <c r="A116">
        <v>65.733917071158899</v>
      </c>
      <c r="B116">
        <v>0.85720256196045597</v>
      </c>
      <c r="C116">
        <v>66.105931283905903</v>
      </c>
      <c r="D116">
        <v>0.78315930057949101</v>
      </c>
      <c r="E116">
        <v>72.808310227044402</v>
      </c>
      <c r="F116">
        <v>0.720338059964726</v>
      </c>
      <c r="G116">
        <v>63.529596142254299</v>
      </c>
      <c r="H116">
        <v>0.50386719576719496</v>
      </c>
    </row>
    <row r="117" spans="1:8" x14ac:dyDescent="0.25">
      <c r="A117">
        <v>66.258977965306997</v>
      </c>
      <c r="B117">
        <v>0.85369755605945996</v>
      </c>
      <c r="C117">
        <v>66.127245328511094</v>
      </c>
      <c r="D117">
        <v>0.79071060720584496</v>
      </c>
      <c r="E117">
        <v>73.227486437612995</v>
      </c>
      <c r="F117">
        <v>0.71484452003023402</v>
      </c>
      <c r="G117">
        <v>63.9487723528229</v>
      </c>
      <c r="H117">
        <v>0.49776211352265698</v>
      </c>
    </row>
    <row r="118" spans="1:8" x14ac:dyDescent="0.25">
      <c r="A118">
        <v>66.714861697140094</v>
      </c>
      <c r="B118">
        <v>0.84934697236919399</v>
      </c>
      <c r="C118">
        <v>66.657876230661003</v>
      </c>
      <c r="D118">
        <v>0.78217346170919799</v>
      </c>
      <c r="E118">
        <v>73.6537673297167</v>
      </c>
      <c r="F118">
        <v>0.70884761904761895</v>
      </c>
      <c r="G118">
        <v>64.357082579867296</v>
      </c>
      <c r="H118">
        <v>0.49189512051734202</v>
      </c>
    </row>
    <row r="119" spans="1:8" x14ac:dyDescent="0.25">
      <c r="A119">
        <v>67.209599156118102</v>
      </c>
      <c r="B119">
        <v>0.845824187452758</v>
      </c>
      <c r="C119">
        <v>67.213880995436099</v>
      </c>
      <c r="D119">
        <v>0.78020429759205201</v>
      </c>
      <c r="E119">
        <v>74.000120554550904</v>
      </c>
      <c r="F119">
        <v>0.705206046863189</v>
      </c>
      <c r="G119">
        <v>64.841001942267695</v>
      </c>
      <c r="H119">
        <v>0.48597671957671901</v>
      </c>
    </row>
    <row r="120" spans="1:8" x14ac:dyDescent="0.25">
      <c r="A120">
        <v>67.575934297769706</v>
      </c>
      <c r="B120">
        <v>0.84124716553287904</v>
      </c>
      <c r="C120">
        <v>67.408752260397804</v>
      </c>
      <c r="D120">
        <v>0.77589053795486396</v>
      </c>
      <c r="E120">
        <v>74.515732368896906</v>
      </c>
      <c r="F120">
        <v>0.69383522297807998</v>
      </c>
      <c r="G120">
        <v>65.288004822182003</v>
      </c>
      <c r="H120">
        <v>0.47927823129251701</v>
      </c>
    </row>
    <row r="121" spans="1:8" x14ac:dyDescent="0.25">
      <c r="A121">
        <v>68.065099457504502</v>
      </c>
      <c r="B121">
        <v>0.83809886621315099</v>
      </c>
      <c r="C121">
        <v>67.725097554011597</v>
      </c>
      <c r="D121">
        <v>0.76982710214690098</v>
      </c>
      <c r="E121">
        <v>74.943267028330297</v>
      </c>
      <c r="F121">
        <v>0.68896931216931201</v>
      </c>
      <c r="G121">
        <v>65.707181032750597</v>
      </c>
      <c r="H121">
        <v>0.473201148904006</v>
      </c>
    </row>
    <row r="122" spans="1:8" x14ac:dyDescent="0.25">
      <c r="A122">
        <v>68.478842676311004</v>
      </c>
      <c r="B122">
        <v>0.83297354497354403</v>
      </c>
      <c r="C122">
        <v>68.049949768937097</v>
      </c>
      <c r="D122">
        <v>0.77186797682035702</v>
      </c>
      <c r="E122">
        <v>75.065822784810095</v>
      </c>
      <c r="F122">
        <v>0.68322297808012</v>
      </c>
      <c r="G122">
        <v>66.087281494876393</v>
      </c>
      <c r="H122">
        <v>0.467153180002159</v>
      </c>
    </row>
    <row r="123" spans="1:8" x14ac:dyDescent="0.25">
      <c r="A123">
        <v>68.9680078360458</v>
      </c>
      <c r="B123">
        <v>0.82983801965230497</v>
      </c>
      <c r="C123">
        <v>68.3189873417721</v>
      </c>
      <c r="D123">
        <v>0.765338170823885</v>
      </c>
      <c r="G123">
        <v>66.456178420735299</v>
      </c>
      <c r="H123">
        <v>0.46149055177626502</v>
      </c>
    </row>
    <row r="124" spans="1:8" x14ac:dyDescent="0.25">
      <c r="A124">
        <v>69.334342977697403</v>
      </c>
      <c r="B124">
        <v>0.82494361300075503</v>
      </c>
      <c r="C124">
        <v>68.783508137432094</v>
      </c>
      <c r="D124">
        <v>0.76305693121693097</v>
      </c>
      <c r="G124">
        <v>66.784086799276594</v>
      </c>
      <c r="H124">
        <v>0.45577505668934198</v>
      </c>
    </row>
    <row r="125" spans="1:8" x14ac:dyDescent="0.25">
      <c r="A125">
        <v>69.820791641551097</v>
      </c>
      <c r="B125">
        <v>0.82172299319727804</v>
      </c>
      <c r="C125">
        <v>68.940084388185596</v>
      </c>
      <c r="D125">
        <v>0.75822343159486005</v>
      </c>
      <c r="G125">
        <v>67.152983725135599</v>
      </c>
      <c r="H125">
        <v>0.44999054097829599</v>
      </c>
    </row>
    <row r="126" spans="1:8" x14ac:dyDescent="0.25">
      <c r="A126">
        <v>70.117919572892404</v>
      </c>
      <c r="B126">
        <v>0.81687774538386704</v>
      </c>
      <c r="C126">
        <v>69.456930451505499</v>
      </c>
      <c r="D126">
        <v>0.75429679444264397</v>
      </c>
      <c r="G126">
        <v>67.525979505726298</v>
      </c>
      <c r="H126">
        <v>0.44401511715797398</v>
      </c>
    </row>
    <row r="127" spans="1:8" x14ac:dyDescent="0.25">
      <c r="A127">
        <v>70.616515973478002</v>
      </c>
      <c r="B127">
        <v>0.81218140589569099</v>
      </c>
      <c r="C127">
        <v>69.833890898131401</v>
      </c>
      <c r="D127">
        <v>0.74628231292517</v>
      </c>
      <c r="G127">
        <v>67.894876431585203</v>
      </c>
      <c r="H127">
        <v>0.43813514739228998</v>
      </c>
    </row>
    <row r="128" spans="1:8" x14ac:dyDescent="0.25">
      <c r="A128">
        <v>71.1381491703943</v>
      </c>
      <c r="B128">
        <v>0.80628736921669197</v>
      </c>
      <c r="C128">
        <v>69.763954189270606</v>
      </c>
      <c r="D128">
        <v>0.75446988446172103</v>
      </c>
      <c r="G128">
        <v>68.222784810126498</v>
      </c>
      <c r="H128">
        <v>0.43235797430083101</v>
      </c>
    </row>
    <row r="129" spans="1:8" x14ac:dyDescent="0.25">
      <c r="A129">
        <v>71.628933092224202</v>
      </c>
      <c r="B129">
        <v>0.801244916675665</v>
      </c>
      <c r="C129">
        <v>70.3080232226134</v>
      </c>
      <c r="D129">
        <v>0.74198047499701603</v>
      </c>
      <c r="G129">
        <v>68.587582881253695</v>
      </c>
      <c r="H129">
        <v>0.42662191987906201</v>
      </c>
    </row>
    <row r="130" spans="1:8" x14ac:dyDescent="0.25">
      <c r="A130">
        <v>72.111829415310396</v>
      </c>
      <c r="B130">
        <v>0.79512933448511602</v>
      </c>
      <c r="C130">
        <v>70.657959949099194</v>
      </c>
      <c r="D130">
        <v>0.73473210716385295</v>
      </c>
      <c r="G130">
        <v>68.911392405063296</v>
      </c>
      <c r="H130">
        <v>0.42076250944822302</v>
      </c>
    </row>
    <row r="131" spans="1:8" x14ac:dyDescent="0.25">
      <c r="A131">
        <v>72.620628223159798</v>
      </c>
      <c r="B131">
        <v>0.78922576635592501</v>
      </c>
      <c r="C131">
        <v>70.740847900341507</v>
      </c>
      <c r="D131">
        <v>0.73970632401108505</v>
      </c>
      <c r="G131">
        <v>69.231103074141004</v>
      </c>
      <c r="H131">
        <v>0.41501617535903201</v>
      </c>
    </row>
    <row r="132" spans="1:8" x14ac:dyDescent="0.25">
      <c r="A132">
        <v>73.077034358047001</v>
      </c>
      <c r="B132">
        <v>0.78268984630889304</v>
      </c>
      <c r="C132">
        <v>71.049457504520703</v>
      </c>
      <c r="D132">
        <v>0.72991850502105504</v>
      </c>
      <c r="G132">
        <v>69.572127787823902</v>
      </c>
      <c r="H132">
        <v>0.40914511463844699</v>
      </c>
    </row>
    <row r="133" spans="1:8" x14ac:dyDescent="0.25">
      <c r="A133">
        <v>73.547197106690703</v>
      </c>
      <c r="B133">
        <v>0.77688673889308801</v>
      </c>
      <c r="C133">
        <v>71.519558389644999</v>
      </c>
      <c r="D133">
        <v>0.72355281855432196</v>
      </c>
      <c r="G133">
        <v>70.289700622865098</v>
      </c>
      <c r="H133">
        <v>0.39524700428319398</v>
      </c>
    </row>
    <row r="134" spans="1:8" x14ac:dyDescent="0.25">
      <c r="A134">
        <v>74.017359855334504</v>
      </c>
      <c r="B134">
        <v>0.77076220710506405</v>
      </c>
      <c r="C134">
        <v>71.895358649789003</v>
      </c>
      <c r="D134">
        <v>0.71598280963178895</v>
      </c>
      <c r="G134">
        <v>70.6657022302591</v>
      </c>
      <c r="H134">
        <v>0.38955343915343899</v>
      </c>
    </row>
    <row r="135" spans="1:8" x14ac:dyDescent="0.25">
      <c r="A135">
        <v>74.453044002411005</v>
      </c>
      <c r="B135">
        <v>0.764440060468631</v>
      </c>
      <c r="C135">
        <v>72.264255575647894</v>
      </c>
      <c r="D135">
        <v>0.70977976460425396</v>
      </c>
      <c r="G135">
        <v>71.010825798673906</v>
      </c>
      <c r="H135">
        <v>0.38354051902242298</v>
      </c>
    </row>
    <row r="136" spans="1:8" x14ac:dyDescent="0.25">
      <c r="A136">
        <v>74.879324894514696</v>
      </c>
      <c r="B136">
        <v>0.75845986394557796</v>
      </c>
      <c r="C136">
        <v>72.563844594224307</v>
      </c>
      <c r="D136">
        <v>0.70478408209074805</v>
      </c>
      <c r="G136">
        <v>71.291460719308802</v>
      </c>
      <c r="H136">
        <v>0.38165180146132499</v>
      </c>
    </row>
    <row r="137" spans="1:8" x14ac:dyDescent="0.25">
      <c r="A137">
        <v>75.092465340566605</v>
      </c>
      <c r="B137">
        <v>0.75351534391534303</v>
      </c>
      <c r="C137">
        <v>73.113811533052001</v>
      </c>
      <c r="D137">
        <v>0.69355747039556503</v>
      </c>
      <c r="G137">
        <v>71.628933092224202</v>
      </c>
      <c r="H137">
        <v>0.37105003779289403</v>
      </c>
    </row>
    <row r="138" spans="1:8" x14ac:dyDescent="0.25">
      <c r="C138">
        <v>73.493911995177797</v>
      </c>
      <c r="D138">
        <v>0.68801477162293401</v>
      </c>
      <c r="G138">
        <v>71.997830018083107</v>
      </c>
      <c r="H138">
        <v>0.36514950869236501</v>
      </c>
    </row>
    <row r="139" spans="1:8" x14ac:dyDescent="0.25">
      <c r="C139">
        <v>73.866907775768496</v>
      </c>
      <c r="D139">
        <v>0.68184843969333697</v>
      </c>
      <c r="G139">
        <v>72.175993570423898</v>
      </c>
      <c r="H139">
        <v>0.35896937263794398</v>
      </c>
    </row>
    <row r="140" spans="1:8" x14ac:dyDescent="0.25">
      <c r="C140">
        <v>74.239903556359195</v>
      </c>
      <c r="D140">
        <v>0.67296731731525306</v>
      </c>
      <c r="G140">
        <v>72.508137432187993</v>
      </c>
      <c r="H140">
        <v>0.358621919879062</v>
      </c>
    </row>
    <row r="141" spans="1:8" x14ac:dyDescent="0.25">
      <c r="C141">
        <v>74.545404862366794</v>
      </c>
      <c r="D141">
        <v>0.66561870496346598</v>
      </c>
      <c r="G141">
        <v>72.794100863974194</v>
      </c>
      <c r="H141">
        <v>0.34826070042831903</v>
      </c>
    </row>
    <row r="142" spans="1:8" x14ac:dyDescent="0.25">
      <c r="C142">
        <v>74.779859353023895</v>
      </c>
      <c r="D142">
        <v>0.65931110103300505</v>
      </c>
      <c r="G142">
        <v>73.1589770085249</v>
      </c>
      <c r="H142">
        <v>0.34247109383435898</v>
      </c>
    </row>
    <row r="143" spans="1:8" x14ac:dyDescent="0.25">
      <c r="C143">
        <v>74.990739218587294</v>
      </c>
      <c r="D143">
        <v>0.653920318834604</v>
      </c>
      <c r="G143">
        <v>73.455159186804707</v>
      </c>
      <c r="H143">
        <v>0.33376811379096999</v>
      </c>
    </row>
    <row r="144" spans="1:8" x14ac:dyDescent="0.25">
      <c r="C144">
        <v>75.347049762239607</v>
      </c>
      <c r="D144">
        <v>0.64776497858402604</v>
      </c>
      <c r="G144">
        <v>73.843595539481598</v>
      </c>
      <c r="H144">
        <v>0.32731776266061902</v>
      </c>
    </row>
    <row r="145" spans="3:8" x14ac:dyDescent="0.25">
      <c r="C145">
        <v>75.669198312236205</v>
      </c>
      <c r="D145">
        <v>0.63998341431810801</v>
      </c>
      <c r="G145">
        <v>74.142736588306207</v>
      </c>
      <c r="H145">
        <v>0.32058291761148899</v>
      </c>
    </row>
    <row r="146" spans="3:8" x14ac:dyDescent="0.25">
      <c r="C146">
        <v>75.865099457504499</v>
      </c>
      <c r="D146">
        <v>0.63227883093978299</v>
      </c>
      <c r="G146">
        <v>74.416410488245901</v>
      </c>
      <c r="H146">
        <v>0.31458896447467799</v>
      </c>
    </row>
    <row r="147" spans="3:8" x14ac:dyDescent="0.25">
      <c r="C147">
        <v>75.945027124773901</v>
      </c>
      <c r="D147">
        <v>0.62729037311894398</v>
      </c>
      <c r="G147">
        <v>74.739100916848997</v>
      </c>
      <c r="H147">
        <v>0.30835179558874498</v>
      </c>
    </row>
    <row r="148" spans="3:8" x14ac:dyDescent="0.25">
      <c r="C148">
        <v>76.208492398365806</v>
      </c>
      <c r="D148">
        <v>0.62059239103048602</v>
      </c>
      <c r="G148">
        <v>75.010115622773796</v>
      </c>
      <c r="H148">
        <v>0.30240642381050498</v>
      </c>
    </row>
    <row r="149" spans="3:8" x14ac:dyDescent="0.25">
      <c r="C149">
        <v>76.424593128390597</v>
      </c>
      <c r="D149">
        <v>0.612780272108843</v>
      </c>
      <c r="G149">
        <v>75.039180229053599</v>
      </c>
      <c r="H149">
        <v>0.29808495842781502</v>
      </c>
    </row>
    <row r="150" spans="3:8" x14ac:dyDescent="0.25">
      <c r="C150">
        <v>76.740497718074494</v>
      </c>
      <c r="D150">
        <v>0.60621064679840098</v>
      </c>
    </row>
    <row r="151" spans="3:8" x14ac:dyDescent="0.25">
      <c r="C151">
        <v>76.890837854128904</v>
      </c>
      <c r="D151">
        <v>0.60029440449195504</v>
      </c>
    </row>
    <row r="152" spans="3:8" x14ac:dyDescent="0.25">
      <c r="C152">
        <v>77.075432704727405</v>
      </c>
      <c r="D152">
        <v>0.59361071158622103</v>
      </c>
    </row>
    <row r="153" spans="3:8" x14ac:dyDescent="0.25">
      <c r="C153">
        <v>77.2156720916214</v>
      </c>
      <c r="D153">
        <v>0.58751927437641704</v>
      </c>
    </row>
    <row r="154" spans="3:8" x14ac:dyDescent="0.25">
      <c r="C154">
        <v>77.437010247136797</v>
      </c>
      <c r="D154">
        <v>0.58135147392290198</v>
      </c>
    </row>
    <row r="155" spans="3:8" x14ac:dyDescent="0.25">
      <c r="C155">
        <v>77.640747438215698</v>
      </c>
      <c r="D155">
        <v>0.57383038548752796</v>
      </c>
    </row>
    <row r="156" spans="3:8" x14ac:dyDescent="0.25">
      <c r="C156">
        <v>77.863291139240502</v>
      </c>
      <c r="D156">
        <v>0.56572380952380896</v>
      </c>
    </row>
    <row r="157" spans="3:8" x14ac:dyDescent="0.25">
      <c r="C157">
        <v>78.083536266827394</v>
      </c>
      <c r="D157">
        <v>0.55862107331821598</v>
      </c>
    </row>
    <row r="158" spans="3:8" x14ac:dyDescent="0.25">
      <c r="C158">
        <v>78.240385774562995</v>
      </c>
      <c r="D158">
        <v>0.551766591080876</v>
      </c>
    </row>
    <row r="159" spans="3:8" x14ac:dyDescent="0.25">
      <c r="C159">
        <v>78.445328511151203</v>
      </c>
      <c r="D159">
        <v>0.54529040060468603</v>
      </c>
    </row>
    <row r="160" spans="3:8" x14ac:dyDescent="0.25">
      <c r="C160">
        <v>78.595961422543695</v>
      </c>
      <c r="D160">
        <v>0.53892317460317396</v>
      </c>
    </row>
    <row r="161" spans="3:4" x14ac:dyDescent="0.25">
      <c r="C161">
        <v>78.755816757082499</v>
      </c>
      <c r="D161">
        <v>0.53283829680020101</v>
      </c>
    </row>
    <row r="162" spans="3:4" x14ac:dyDescent="0.25">
      <c r="C162">
        <v>78.915672091621403</v>
      </c>
      <c r="D162">
        <v>0.52684696397077302</v>
      </c>
    </row>
    <row r="163" spans="3:4" x14ac:dyDescent="0.25">
      <c r="C163">
        <v>79.075527426160306</v>
      </c>
      <c r="D163">
        <v>0.52023199798437803</v>
      </c>
    </row>
    <row r="164" spans="3:4" x14ac:dyDescent="0.25">
      <c r="C164">
        <v>79.241599357042304</v>
      </c>
      <c r="D164">
        <v>0.51298894431846798</v>
      </c>
    </row>
    <row r="165" spans="3:4" x14ac:dyDescent="0.25">
      <c r="C165">
        <v>79.416757082579807</v>
      </c>
      <c r="D165">
        <v>0.50569312169312097</v>
      </c>
    </row>
    <row r="166" spans="3:4" x14ac:dyDescent="0.25">
      <c r="C166">
        <v>79.617600964436406</v>
      </c>
      <c r="D166">
        <v>0.49862540978295999</v>
      </c>
    </row>
    <row r="167" spans="3:4" x14ac:dyDescent="0.25">
      <c r="C167">
        <v>79.746031746031704</v>
      </c>
      <c r="D167">
        <v>0.49150032753842199</v>
      </c>
    </row>
    <row r="168" spans="3:4" x14ac:dyDescent="0.25">
      <c r="C168">
        <v>79.937604408852096</v>
      </c>
      <c r="D168">
        <v>0.48433490983694999</v>
      </c>
    </row>
    <row r="169" spans="3:4" x14ac:dyDescent="0.25">
      <c r="C169">
        <v>80.097935503315199</v>
      </c>
      <c r="D169">
        <v>0.47648858654572901</v>
      </c>
    </row>
    <row r="170" spans="3:4" x14ac:dyDescent="0.25">
      <c r="C170">
        <v>80.247799879445395</v>
      </c>
      <c r="D170">
        <v>0.47294724111866898</v>
      </c>
    </row>
    <row r="171" spans="3:4" x14ac:dyDescent="0.25">
      <c r="C171">
        <v>80.392284508740204</v>
      </c>
      <c r="D171">
        <v>0.46278578987150398</v>
      </c>
    </row>
    <row r="172" spans="3:4" x14ac:dyDescent="0.25">
      <c r="C172">
        <v>80.537234916981703</v>
      </c>
      <c r="D172">
        <v>0.45655257335257299</v>
      </c>
    </row>
    <row r="173" spans="3:4" x14ac:dyDescent="0.25">
      <c r="C173">
        <v>80.669640345589698</v>
      </c>
      <c r="D173">
        <v>0.44946448307718101</v>
      </c>
    </row>
    <row r="174" spans="3:4" x14ac:dyDescent="0.25">
      <c r="C174">
        <v>80.634116937914399</v>
      </c>
      <c r="D174">
        <v>0.44668783068783002</v>
      </c>
    </row>
    <row r="175" spans="3:4" x14ac:dyDescent="0.25">
      <c r="C175">
        <v>80.933105619181504</v>
      </c>
      <c r="D175">
        <v>0.43460122616947999</v>
      </c>
    </row>
    <row r="176" spans="3:4" x14ac:dyDescent="0.25">
      <c r="C176">
        <v>81.064838255977406</v>
      </c>
      <c r="D176">
        <v>0.426731569664903</v>
      </c>
    </row>
    <row r="177" spans="3:4" x14ac:dyDescent="0.25">
      <c r="C177">
        <v>81.216700823789395</v>
      </c>
      <c r="D177">
        <v>0.41887379188712498</v>
      </c>
    </row>
    <row r="178" spans="3:4" x14ac:dyDescent="0.25">
      <c r="C178">
        <v>81.283226478163101</v>
      </c>
      <c r="D178">
        <v>0.41201544698687498</v>
      </c>
    </row>
    <row r="179" spans="3:4" x14ac:dyDescent="0.25">
      <c r="C179">
        <v>81.412079566003598</v>
      </c>
      <c r="D179">
        <v>0.40635658352229698</v>
      </c>
    </row>
    <row r="180" spans="3:4" x14ac:dyDescent="0.25">
      <c r="C180">
        <v>81.539963833634701</v>
      </c>
      <c r="D180">
        <v>0.39876225893532002</v>
      </c>
    </row>
    <row r="181" spans="3:4" x14ac:dyDescent="0.25">
      <c r="C181">
        <v>81.602937147240894</v>
      </c>
      <c r="D181">
        <v>0.39170282415996699</v>
      </c>
    </row>
    <row r="182" spans="3:4" x14ac:dyDescent="0.25">
      <c r="C182">
        <v>81.743416077593196</v>
      </c>
      <c r="D182">
        <v>0.385458393458393</v>
      </c>
    </row>
    <row r="183" spans="3:4" x14ac:dyDescent="0.25">
      <c r="C183">
        <v>81.833031946955998</v>
      </c>
      <c r="D183">
        <v>0.37891227009322198</v>
      </c>
    </row>
    <row r="184" spans="3:4" x14ac:dyDescent="0.25">
      <c r="C184">
        <v>81.939602169981896</v>
      </c>
      <c r="D184">
        <v>0.372475485008818</v>
      </c>
    </row>
    <row r="185" spans="3:4" x14ac:dyDescent="0.25">
      <c r="C185">
        <v>82.046172393007794</v>
      </c>
      <c r="D185">
        <v>0.366016427311665</v>
      </c>
    </row>
    <row r="186" spans="3:4" x14ac:dyDescent="0.25">
      <c r="C186">
        <v>82.175286317058394</v>
      </c>
      <c r="D186">
        <v>0.35916674225245598</v>
      </c>
    </row>
    <row r="187" spans="3:4" x14ac:dyDescent="0.25">
      <c r="C187">
        <v>82.268193690978507</v>
      </c>
      <c r="D187">
        <v>0.35247467876039301</v>
      </c>
    </row>
    <row r="188" spans="3:4" x14ac:dyDescent="0.25">
      <c r="C188">
        <v>82.374763914004404</v>
      </c>
      <c r="D188">
        <v>0.34606016628873698</v>
      </c>
    </row>
    <row r="189" spans="3:4" x14ac:dyDescent="0.25">
      <c r="C189">
        <v>82.481334137030302</v>
      </c>
      <c r="D189">
        <v>0.339645653817082</v>
      </c>
    </row>
    <row r="190" spans="3:4" x14ac:dyDescent="0.25">
      <c r="C190">
        <v>82.5879043600562</v>
      </c>
      <c r="D190">
        <v>0.33323114134542697</v>
      </c>
    </row>
    <row r="191" spans="3:4" x14ac:dyDescent="0.25">
      <c r="C191">
        <v>82.694474583082098</v>
      </c>
      <c r="D191">
        <v>0.326816628873771</v>
      </c>
    </row>
    <row r="192" spans="3:4" x14ac:dyDescent="0.25">
      <c r="C192">
        <v>82.801044806108095</v>
      </c>
      <c r="D192">
        <v>0.32040211640211602</v>
      </c>
    </row>
    <row r="193" spans="3:4" x14ac:dyDescent="0.25">
      <c r="C193">
        <v>82.907615029134007</v>
      </c>
      <c r="D193">
        <v>0.31398760393046099</v>
      </c>
    </row>
    <row r="194" spans="3:4" x14ac:dyDescent="0.25">
      <c r="C194">
        <v>83.007353827606906</v>
      </c>
      <c r="D194">
        <v>0.30750113378684801</v>
      </c>
    </row>
    <row r="195" spans="3:4" x14ac:dyDescent="0.25">
      <c r="C195">
        <v>83.1598312236287</v>
      </c>
      <c r="D195">
        <v>0.30070803584925998</v>
      </c>
    </row>
    <row r="196" spans="3:4" x14ac:dyDescent="0.25">
      <c r="C196">
        <v>83.271729957805903</v>
      </c>
      <c r="D196">
        <v>0.29470130309901699</v>
      </c>
    </row>
    <row r="197" spans="3:4" x14ac:dyDescent="0.25">
      <c r="C197">
        <v>83.356501726121905</v>
      </c>
      <c r="D197">
        <v>0.28868186628186598</v>
      </c>
    </row>
    <row r="198" spans="3:4" x14ac:dyDescent="0.25">
      <c r="C198">
        <v>83.4787221217601</v>
      </c>
      <c r="D198">
        <v>0.282336507936507</v>
      </c>
    </row>
    <row r="199" spans="3:4" x14ac:dyDescent="0.25">
      <c r="C199">
        <v>83.569642172173801</v>
      </c>
      <c r="D199">
        <v>0.27602292310863702</v>
      </c>
    </row>
    <row r="200" spans="3:4" x14ac:dyDescent="0.25">
      <c r="C200">
        <v>83.721101064898505</v>
      </c>
      <c r="D200">
        <v>0.26904147140337598</v>
      </c>
    </row>
    <row r="201" spans="3:4" x14ac:dyDescent="0.25">
      <c r="C201">
        <v>83.895726658418099</v>
      </c>
      <c r="D201">
        <v>0.25986515495086898</v>
      </c>
    </row>
    <row r="202" spans="3:4" x14ac:dyDescent="0.25">
      <c r="C202">
        <v>84.008840667068498</v>
      </c>
      <c r="D202">
        <v>0.24461286974048799</v>
      </c>
    </row>
    <row r="203" spans="3:4" x14ac:dyDescent="0.25">
      <c r="C203">
        <v>84.049208175790397</v>
      </c>
      <c r="D203">
        <v>0.23731717171717101</v>
      </c>
    </row>
    <row r="204" spans="3:4" x14ac:dyDescent="0.25">
      <c r="C204">
        <v>84.2042194092827</v>
      </c>
      <c r="D204">
        <v>0.23083948601662799</v>
      </c>
    </row>
    <row r="205" spans="3:4" x14ac:dyDescent="0.25">
      <c r="C205">
        <v>84.373762945914805</v>
      </c>
      <c r="D205">
        <v>0.218365203050917</v>
      </c>
    </row>
    <row r="206" spans="3:4" x14ac:dyDescent="0.25">
      <c r="C206">
        <v>84.506168374522801</v>
      </c>
      <c r="D206">
        <v>0.21186767447719801</v>
      </c>
    </row>
    <row r="207" spans="3:4" x14ac:dyDescent="0.25">
      <c r="C207">
        <v>84.566558167570804</v>
      </c>
      <c r="D207">
        <v>0.20471816578483201</v>
      </c>
    </row>
    <row r="208" spans="3:4" x14ac:dyDescent="0.25">
      <c r="C208">
        <v>84.717088607594903</v>
      </c>
      <c r="D208">
        <v>0.195419349962207</v>
      </c>
    </row>
    <row r="209" spans="3:4" x14ac:dyDescent="0.25">
      <c r="C209">
        <v>84.850301386377296</v>
      </c>
      <c r="D209">
        <v>0.18710052910052899</v>
      </c>
    </row>
    <row r="210" spans="3:4" x14ac:dyDescent="0.25">
      <c r="C210">
        <v>85.016817359855295</v>
      </c>
      <c r="D210">
        <v>0.1801960191484</v>
      </c>
    </row>
    <row r="211" spans="3:4" x14ac:dyDescent="0.25">
      <c r="C211">
        <v>85.114910406049603</v>
      </c>
      <c r="D211">
        <v>0.17358510272795899</v>
      </c>
    </row>
    <row r="212" spans="3:4" x14ac:dyDescent="0.25">
      <c r="C212">
        <v>85.184665461121099</v>
      </c>
      <c r="D212">
        <v>0.166551816578483</v>
      </c>
    </row>
    <row r="213" spans="3:4" x14ac:dyDescent="0.25">
      <c r="C213">
        <v>85.367088607594894</v>
      </c>
      <c r="D213">
        <v>0.15792471655328799</v>
      </c>
    </row>
    <row r="214" spans="3:4" x14ac:dyDescent="0.25">
      <c r="C214">
        <v>85.5058985619564</v>
      </c>
      <c r="D214">
        <v>0.14955844941151</v>
      </c>
    </row>
    <row r="215" spans="3:4" x14ac:dyDescent="0.25">
      <c r="C215">
        <v>85.565411803386397</v>
      </c>
      <c r="D215">
        <v>0.14311616848759701</v>
      </c>
    </row>
    <row r="216" spans="3:4" x14ac:dyDescent="0.25">
      <c r="C216">
        <v>85.745935302391004</v>
      </c>
      <c r="D216">
        <v>0.13627888133030899</v>
      </c>
    </row>
    <row r="217" spans="3:4" x14ac:dyDescent="0.25">
      <c r="C217">
        <v>85.831464737793794</v>
      </c>
      <c r="D217">
        <v>0.12851156462585001</v>
      </c>
    </row>
    <row r="218" spans="3:4" x14ac:dyDescent="0.25">
      <c r="C218">
        <v>85.935985533453803</v>
      </c>
      <c r="D218">
        <v>0.120776400436717</v>
      </c>
    </row>
    <row r="219" spans="3:4" x14ac:dyDescent="0.25">
      <c r="C219">
        <v>86.115378742214105</v>
      </c>
      <c r="D219">
        <v>0.11258082136558301</v>
      </c>
    </row>
    <row r="220" spans="3:4" x14ac:dyDescent="0.25">
      <c r="C220">
        <v>86.190992852837297</v>
      </c>
      <c r="D220">
        <v>0.10510958705477599</v>
      </c>
    </row>
    <row r="221" spans="3:4" x14ac:dyDescent="0.25">
      <c r="C221">
        <v>86.364042595941299</v>
      </c>
      <c r="D221">
        <v>9.6773629917575599E-2</v>
      </c>
    </row>
    <row r="222" spans="3:4" x14ac:dyDescent="0.25">
      <c r="C222">
        <v>86.476448807371</v>
      </c>
      <c r="D222">
        <v>8.8926033905625798E-2</v>
      </c>
    </row>
    <row r="223" spans="3:4" x14ac:dyDescent="0.25">
      <c r="C223">
        <v>86.602049427365799</v>
      </c>
      <c r="D223">
        <v>8.1556980887593097E-2</v>
      </c>
    </row>
    <row r="224" spans="3:4" x14ac:dyDescent="0.25">
      <c r="C224">
        <v>86.708619650391796</v>
      </c>
      <c r="D224">
        <v>7.49862708719852E-2</v>
      </c>
    </row>
    <row r="225" spans="3:4" x14ac:dyDescent="0.25">
      <c r="C225">
        <v>86.823387582881196</v>
      </c>
      <c r="D225">
        <v>6.8416628873771701E-2</v>
      </c>
    </row>
    <row r="226" spans="3:4" x14ac:dyDescent="0.25">
      <c r="C226">
        <v>86.899557966646498</v>
      </c>
      <c r="D226">
        <v>6.1393902746283598E-2</v>
      </c>
    </row>
    <row r="227" spans="3:4" x14ac:dyDescent="0.25">
      <c r="C227">
        <v>86.979485633915999</v>
      </c>
      <c r="D227">
        <v>5.5291206853111702E-2</v>
      </c>
    </row>
    <row r="228" spans="3:4" x14ac:dyDescent="0.25">
      <c r="C228">
        <v>87.108257986738906</v>
      </c>
      <c r="D228">
        <v>4.8881148904006001E-2</v>
      </c>
    </row>
    <row r="229" spans="3:4" x14ac:dyDescent="0.25">
      <c r="C229">
        <v>87.201506931886598</v>
      </c>
      <c r="D229">
        <v>4.22840010078104E-2</v>
      </c>
    </row>
    <row r="230" spans="3:4" x14ac:dyDescent="0.25">
      <c r="C230">
        <v>87.241470765521399</v>
      </c>
      <c r="D230">
        <v>1.17078265649683E-3</v>
      </c>
    </row>
    <row r="231" spans="3:4" x14ac:dyDescent="0.25">
      <c r="C231">
        <v>87.327546714888399</v>
      </c>
      <c r="D231">
        <v>3.5480574452002998E-2</v>
      </c>
    </row>
    <row r="232" spans="3:4" x14ac:dyDescent="0.25">
      <c r="C232">
        <v>87.436849507735502</v>
      </c>
      <c r="D232">
        <v>2.8163164525069301E-2</v>
      </c>
    </row>
    <row r="233" spans="3:4" x14ac:dyDescent="0.25">
      <c r="C233">
        <v>87.534538878842596</v>
      </c>
      <c r="D233">
        <v>2.2207467876039302E-2</v>
      </c>
    </row>
    <row r="234" spans="3:4" x14ac:dyDescent="0.25">
      <c r="C234">
        <v>87.667751657625004</v>
      </c>
      <c r="D234">
        <v>1.6351255563954E-2</v>
      </c>
    </row>
    <row r="235" spans="3:4" x14ac:dyDescent="0.25">
      <c r="C235">
        <v>87.781934039438497</v>
      </c>
      <c r="D235">
        <v>8.8273548572867996E-3</v>
      </c>
    </row>
    <row r="236" spans="3:4" x14ac:dyDescent="0.25">
      <c r="C236">
        <v>87.844258589511696</v>
      </c>
      <c r="D236">
        <v>1.3469387755102799E-3</v>
      </c>
    </row>
    <row r="237" spans="3:4" x14ac:dyDescent="0.25">
      <c r="C237">
        <v>88.253887884267598</v>
      </c>
      <c r="D237">
        <v>1.6275736961453E-3</v>
      </c>
    </row>
  </sheetData>
  <mergeCells count="4">
    <mergeCell ref="A1:B1"/>
    <mergeCell ref="C1:D1"/>
    <mergeCell ref="E1:F1"/>
    <mergeCell ref="G1:H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F4E31-D94C-448B-ACE9-122FA9940203}">
  <sheetPr codeName="Sheet3"/>
  <dimension ref="A1:C12"/>
  <sheetViews>
    <sheetView workbookViewId="0">
      <selection activeCell="B17" sqref="B17"/>
    </sheetView>
  </sheetViews>
  <sheetFormatPr defaultRowHeight="15" x14ac:dyDescent="0.25"/>
  <cols>
    <col min="1" max="1" width="25.85546875" style="1" bestFit="1" customWidth="1"/>
    <col min="2" max="2" width="20" style="1" bestFit="1" customWidth="1"/>
    <col min="3" max="3" width="20.5703125" style="1" bestFit="1" customWidth="1"/>
  </cols>
  <sheetData>
    <row r="1" spans="1:3" x14ac:dyDescent="0.25">
      <c r="A1" s="9" t="s">
        <v>13</v>
      </c>
      <c r="B1" s="9"/>
      <c r="C1" s="9"/>
    </row>
    <row r="2" spans="1:3" x14ac:dyDescent="0.25">
      <c r="A2" s="2" t="s">
        <v>17</v>
      </c>
      <c r="B2" s="2" t="s">
        <v>14</v>
      </c>
      <c r="C2" s="2" t="s">
        <v>15</v>
      </c>
    </row>
    <row r="3" spans="1:3" x14ac:dyDescent="0.25">
      <c r="A3" s="3" t="s">
        <v>19</v>
      </c>
      <c r="B3" s="3"/>
      <c r="C3" s="3"/>
    </row>
    <row r="4" spans="1:3" x14ac:dyDescent="0.25">
      <c r="A4" s="9" t="s">
        <v>16</v>
      </c>
      <c r="B4" s="9"/>
      <c r="C4" s="9"/>
    </row>
    <row r="5" spans="1:3" x14ac:dyDescent="0.25">
      <c r="A5" s="2" t="s">
        <v>17</v>
      </c>
      <c r="B5" s="2" t="s">
        <v>18</v>
      </c>
      <c r="C5" s="2" t="s">
        <v>16</v>
      </c>
    </row>
    <row r="6" spans="1:3" x14ac:dyDescent="0.25">
      <c r="A6" s="3" t="s">
        <v>1</v>
      </c>
      <c r="B6" s="3"/>
      <c r="C6" s="3"/>
    </row>
    <row r="7" spans="1:3" x14ac:dyDescent="0.25">
      <c r="A7" s="9" t="s">
        <v>34</v>
      </c>
      <c r="B7" s="9"/>
      <c r="C7" s="9"/>
    </row>
    <row r="8" spans="1:3" x14ac:dyDescent="0.25">
      <c r="A8" s="2" t="s">
        <v>17</v>
      </c>
      <c r="B8" s="2" t="s">
        <v>35</v>
      </c>
      <c r="C8" s="2" t="s">
        <v>36</v>
      </c>
    </row>
    <row r="9" spans="1:3" x14ac:dyDescent="0.25">
      <c r="A9" s="4" t="s">
        <v>26</v>
      </c>
      <c r="B9" s="4"/>
      <c r="C9" s="4"/>
    </row>
    <row r="10" spans="1:3" x14ac:dyDescent="0.25">
      <c r="A10" s="10" t="s">
        <v>51</v>
      </c>
      <c r="B10" s="11"/>
      <c r="C10" s="11"/>
    </row>
    <row r="11" spans="1:3" x14ac:dyDescent="0.25">
      <c r="A11" s="5" t="s">
        <v>17</v>
      </c>
      <c r="B11" s="5" t="s">
        <v>53</v>
      </c>
      <c r="C11" s="5" t="s">
        <v>52</v>
      </c>
    </row>
    <row r="12" spans="1:3" x14ac:dyDescent="0.25">
      <c r="A12" s="3" t="s">
        <v>54</v>
      </c>
      <c r="B12" s="3"/>
      <c r="C12" s="3"/>
    </row>
  </sheetData>
  <mergeCells count="4">
    <mergeCell ref="A1:C1"/>
    <mergeCell ref="A4:C4"/>
    <mergeCell ref="A7:C7"/>
    <mergeCell ref="A10:C10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B3DC88-AE4F-48FC-BC73-8F7CF51AF913}">
          <x14:formula1>
            <xm:f>'HUNTER CURVE'!$J$2:$J$5</xm:f>
          </x14:formula1>
          <xm:sqref>A3</xm:sqref>
        </x14:dataValidation>
        <x14:dataValidation type="list" allowBlank="1" showInputMessage="1" showErrorMessage="1" xr:uid="{B4B3CC0D-7110-4B84-9E34-76BA9453C3E6}">
          <x14:formula1>
            <xm:f>TRANSMITTANCE!$J$2:$J$5</xm:f>
          </x14:formula1>
          <xm:sqref>A6</xm:sqref>
        </x14:dataValidation>
        <x14:dataValidation type="list" allowBlank="1" showInputMessage="1" showErrorMessage="1" xr:uid="{58B4F13D-D220-4743-A1D4-6F4271A1367F}">
          <x14:formula1>
            <xm:f>'DESIGN FLOW'!$R$2:$R$9</xm:f>
          </x14:formula1>
          <xm:sqref>A9</xm:sqref>
        </x14:dataValidation>
        <x14:dataValidation type="list" allowBlank="1" showInputMessage="1" showErrorMessage="1" xr:uid="{ECBDFFDA-9B35-4EFA-88CD-74491B6F9F78}">
          <x14:formula1>
            <xm:f>'FAN CURVE'!$BK$2:$BK$31</xm:f>
          </x14:formula1>
          <xm:sqref>A12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CALCULATOR</vt:lpstr>
      <vt:lpstr>FAN CURVE</vt:lpstr>
      <vt:lpstr>DESIGN FLOW</vt:lpstr>
      <vt:lpstr>HUNTER CURVE</vt:lpstr>
      <vt:lpstr>TRANSMITTANCE</vt:lpstr>
      <vt:lpstr>TEMPLATES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Chung</dc:creator>
  <cp:lastModifiedBy>Richard Chung</cp:lastModifiedBy>
  <dcterms:created xsi:type="dcterms:W3CDTF">2021-06-28T13:22:19Z</dcterms:created>
  <dcterms:modified xsi:type="dcterms:W3CDTF">2021-07-26T21:28:42Z</dcterms:modified>
</cp:coreProperties>
</file>